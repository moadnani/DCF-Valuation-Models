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2022" documentId="11_E60897F41BE170836B02CE998F75CCDC64E183C8" xr6:coauthVersionLast="47" xr6:coauthVersionMax="47" xr10:uidLastSave="{FC56D5E4-4807-4042-AF39-22035B87AE6B}"/>
  <bookViews>
    <workbookView xWindow="240" yWindow="105" windowWidth="14805" windowHeight="8010" firstSheet="7" xr2:uid="{00000000-000D-0000-FFFF-FFFF00000000}"/>
  </bookViews>
  <sheets>
    <sheet name="Cover" sheetId="3" r:id="rId1"/>
    <sheet name="Assumptions" sheetId="2" r:id="rId2"/>
    <sheet name="Historical Financials" sheetId="1" r:id="rId3"/>
    <sheet name="Forecast" sheetId="4" r:id="rId4"/>
    <sheet name="WACC" sheetId="6" r:id="rId5"/>
    <sheet name="DCF" sheetId="5" r:id="rId6"/>
    <sheet name="Sensitivity" sheetId="7" r:id="rId7"/>
    <sheet name="Chart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3" i="8" l="1"/>
  <c r="J23" i="8"/>
  <c r="I23" i="8"/>
  <c r="H23" i="8"/>
  <c r="G23" i="8"/>
  <c r="Q3" i="8"/>
  <c r="P3" i="8"/>
  <c r="F23" i="8"/>
  <c r="E23" i="8"/>
  <c r="D23" i="8"/>
  <c r="C23" i="8"/>
  <c r="C4" i="1"/>
  <c r="C4" i="5"/>
  <c r="I3" i="8"/>
  <c r="J3" i="8"/>
  <c r="K3" i="8"/>
  <c r="L3" i="8"/>
  <c r="H3" i="8"/>
  <c r="G3" i="8"/>
  <c r="F3" i="8"/>
  <c r="E3" i="8"/>
  <c r="D3" i="8"/>
  <c r="C3" i="8"/>
  <c r="C8" i="5"/>
  <c r="C8" i="4"/>
  <c r="C6" i="4"/>
  <c r="D6" i="4"/>
  <c r="E6" i="4"/>
  <c r="F6" i="4"/>
  <c r="G6" i="4"/>
  <c r="C4" i="4"/>
  <c r="D4" i="4"/>
  <c r="E4" i="4"/>
  <c r="F4" i="4"/>
  <c r="G4" i="4"/>
  <c r="C16" i="5"/>
  <c r="C3" i="4"/>
  <c r="C5" i="6"/>
  <c r="C4" i="6"/>
  <c r="C3" i="6"/>
  <c r="F6" i="6"/>
  <c r="C10" i="6"/>
  <c r="C11" i="6"/>
  <c r="K29" i="2"/>
  <c r="D20" i="2"/>
  <c r="D10" i="4" s="1"/>
  <c r="E20" i="2"/>
  <c r="E10" i="4" s="1"/>
  <c r="F20" i="2"/>
  <c r="F10" i="4" s="1"/>
  <c r="G20" i="2"/>
  <c r="G10" i="4" s="1"/>
  <c r="C20" i="2"/>
  <c r="C10" i="4" s="1"/>
  <c r="K6" i="2"/>
  <c r="C12" i="6"/>
  <c r="D21" i="2"/>
  <c r="D14" i="4" s="1"/>
  <c r="E21" i="2"/>
  <c r="E14" i="4" s="1"/>
  <c r="F21" i="2"/>
  <c r="F14" i="4" s="1"/>
  <c r="G21" i="2"/>
  <c r="G14" i="4" s="1"/>
  <c r="C21" i="2"/>
  <c r="C14" i="4" s="1"/>
  <c r="D8" i="1"/>
  <c r="E8" i="1"/>
  <c r="F8" i="1"/>
  <c r="G8" i="1"/>
  <c r="C8" i="1"/>
  <c r="D6" i="1"/>
  <c r="E6" i="1"/>
  <c r="F6" i="1"/>
  <c r="G6" i="1"/>
  <c r="C6" i="1"/>
  <c r="H8" i="1"/>
  <c r="H6" i="1"/>
  <c r="H4" i="1"/>
  <c r="C6" i="6"/>
  <c r="D14" i="1"/>
  <c r="E14" i="1"/>
  <c r="F14" i="1"/>
  <c r="G14" i="1"/>
  <c r="C14" i="1"/>
  <c r="H14" i="1" s="1"/>
  <c r="D12" i="1"/>
  <c r="E12" i="1"/>
  <c r="F12" i="1"/>
  <c r="G12" i="1"/>
  <c r="C12" i="1"/>
  <c r="H12" i="1" s="1"/>
  <c r="D10" i="1"/>
  <c r="E10" i="1"/>
  <c r="F10" i="1"/>
  <c r="G10" i="1"/>
  <c r="C10" i="1"/>
  <c r="H10" i="1" s="1"/>
  <c r="D16" i="1"/>
  <c r="E16" i="1"/>
  <c r="F16" i="1"/>
  <c r="G16" i="1"/>
  <c r="C16" i="1"/>
  <c r="H16" i="1" s="1"/>
  <c r="D3" i="4"/>
  <c r="D4" i="1"/>
  <c r="E4" i="1"/>
  <c r="F4" i="1"/>
  <c r="D7" i="1"/>
  <c r="E7" i="1"/>
  <c r="F7" i="1"/>
  <c r="G7" i="1"/>
  <c r="C7" i="1"/>
  <c r="C13" i="6" l="1"/>
  <c r="C16" i="6" s="1"/>
  <c r="D16" i="4"/>
  <c r="E16" i="4"/>
  <c r="F16" i="4"/>
  <c r="G16" i="4"/>
  <c r="C16" i="4"/>
  <c r="L6" i="2"/>
  <c r="D19" i="2"/>
  <c r="D12" i="4" s="1"/>
  <c r="D11" i="4" s="1"/>
  <c r="E19" i="2"/>
  <c r="E12" i="4" s="1"/>
  <c r="F19" i="2"/>
  <c r="F12" i="4" s="1"/>
  <c r="G19" i="2"/>
  <c r="G12" i="4" s="1"/>
  <c r="C19" i="2"/>
  <c r="C12" i="4" s="1"/>
  <c r="D9" i="4"/>
  <c r="D13" i="4"/>
  <c r="C13" i="4"/>
  <c r="C11" i="4"/>
  <c r="C5" i="4"/>
  <c r="C9" i="4"/>
  <c r="E3" i="4"/>
  <c r="E11" i="4" s="1"/>
  <c r="C10" i="5" l="1"/>
  <c r="M6" i="2"/>
  <c r="D5" i="4"/>
  <c r="D4" i="5" s="1"/>
  <c r="D15" i="4"/>
  <c r="D7" i="4"/>
  <c r="D8" i="4" s="1"/>
  <c r="E9" i="4"/>
  <c r="E13" i="4"/>
  <c r="C15" i="4"/>
  <c r="C7" i="4"/>
  <c r="D10" i="5"/>
  <c r="F3" i="4"/>
  <c r="F11" i="4" s="1"/>
  <c r="N6" i="2" l="1"/>
  <c r="E5" i="4"/>
  <c r="E4" i="5" s="1"/>
  <c r="E10" i="5" s="1"/>
  <c r="E15" i="4"/>
  <c r="E7" i="4"/>
  <c r="E8" i="4" s="1"/>
  <c r="F9" i="4"/>
  <c r="F13" i="4"/>
  <c r="G3" i="4"/>
  <c r="G11" i="4" s="1"/>
  <c r="O6" i="2" l="1"/>
  <c r="F5" i="4"/>
  <c r="F4" i="5" s="1"/>
  <c r="F10" i="5" s="1"/>
  <c r="F15" i="4"/>
  <c r="F7" i="4"/>
  <c r="F8" i="4" s="1"/>
  <c r="G13" i="4"/>
  <c r="G5" i="4"/>
  <c r="G9" i="4"/>
  <c r="G4" i="5" l="1"/>
  <c r="G5" i="5" s="1"/>
  <c r="G6" i="5"/>
  <c r="G10" i="5" s="1"/>
  <c r="C13" i="5" s="1"/>
  <c r="G15" i="4"/>
  <c r="G7" i="4"/>
  <c r="G8" i="4" s="1"/>
  <c r="C15" i="5"/>
  <c r="C18" i="5" l="1"/>
  <c r="C11" i="3" s="1"/>
  <c r="C12" i="3"/>
  <c r="C13" i="3" s="1" a="1"/>
  <c r="C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<sst xmlns="http://schemas.openxmlformats.org/spreadsheetml/2006/main" count="148" uniqueCount="102">
  <si>
    <t>Apple Inc.</t>
  </si>
  <si>
    <t>Discounted Cash Flow Valuation</t>
  </si>
  <si>
    <r>
      <rPr>
        <sz val="12"/>
        <color rgb="FF000000"/>
        <rFont val="Calibri"/>
        <scheme val="minor"/>
      </rPr>
      <t xml:space="preserve">Date: </t>
    </r>
    <r>
      <rPr>
        <sz val="10"/>
        <color rgb="FF000000"/>
        <rFont val="Calibri"/>
        <scheme val="minor"/>
      </rPr>
      <t>*</t>
    </r>
  </si>
  <si>
    <t>Currency:</t>
  </si>
  <si>
    <t>USD</t>
  </si>
  <si>
    <t>Model Author:</t>
  </si>
  <si>
    <t>Mohammed Al-Adnani</t>
  </si>
  <si>
    <t>Summary</t>
  </si>
  <si>
    <t>Current Share Price</t>
  </si>
  <si>
    <t>Intrinsic Value</t>
  </si>
  <si>
    <t>Upside/Downside</t>
  </si>
  <si>
    <t>Recommendation</t>
  </si>
  <si>
    <t>Table of Contents</t>
  </si>
  <si>
    <t>Assumptions</t>
  </si>
  <si>
    <t>Historical Financials</t>
  </si>
  <si>
    <t>Forecast</t>
  </si>
  <si>
    <t>DCF</t>
  </si>
  <si>
    <t>WACC</t>
  </si>
  <si>
    <t>Sensitivity</t>
  </si>
  <si>
    <t>Charts</t>
  </si>
  <si>
    <r>
      <rPr>
        <b/>
        <sz val="11"/>
        <color rgb="FF000000"/>
        <rFont val="Calibri"/>
        <scheme val="minor"/>
      </rPr>
      <t>* Historical Financials:</t>
    </r>
    <r>
      <rPr>
        <sz val="11"/>
        <color rgb="FF000000"/>
        <rFont val="Calibri"/>
        <scheme val="minor"/>
      </rPr>
      <t xml:space="preserve"> Apple FY2025 Form 10-K (year ended 27 September 2025)</t>
    </r>
  </si>
  <si>
    <r>
      <rPr>
        <b/>
        <sz val="11"/>
        <color rgb="FF000000"/>
        <rFont val="Calibri"/>
        <scheme val="minor"/>
      </rPr>
      <t xml:space="preserve">   Market Data:</t>
    </r>
    <r>
      <rPr>
        <sz val="11"/>
        <color rgb="FF000000"/>
        <rFont val="Calibri"/>
        <scheme val="minor"/>
      </rPr>
      <t xml:space="preserve"> As of 8 July 2026 (share price, market capitalisation, beta, risk-free rate)</t>
    </r>
  </si>
  <si>
    <t>This model is for educational purposes only and should not be considered investment advice.</t>
  </si>
  <si>
    <t>Valuation Assumptions</t>
  </si>
  <si>
    <t>Revenue Growth</t>
  </si>
  <si>
    <t>Operating Profitability</t>
  </si>
  <si>
    <t>Driver</t>
  </si>
  <si>
    <t>EBIT Margin</t>
  </si>
  <si>
    <t>Rationale:</t>
  </si>
  <si>
    <t>Mature smartphone market</t>
  </si>
  <si>
    <t>Stable pricing power</t>
  </si>
  <si>
    <t>Continued services expansion</t>
  </si>
  <si>
    <t>Services mix increasing</t>
  </si>
  <si>
    <t>AI driven upgrade cycle likely to plateau</t>
  </si>
  <si>
    <t>Low operating leverage</t>
  </si>
  <si>
    <t>Source:</t>
  </si>
  <si>
    <t>Apple 2025 Form 10-K</t>
  </si>
  <si>
    <t>Average of historical margins with a slight upward trend</t>
  </si>
  <si>
    <t>Average historical revenue growth decreasing linearly</t>
  </si>
  <si>
    <t>Investment</t>
  </si>
  <si>
    <t>Discount Rate &amp; misc.</t>
  </si>
  <si>
    <t>Factor</t>
  </si>
  <si>
    <t>Source</t>
  </si>
  <si>
    <t>CapEx (% of revenue)</t>
  </si>
  <si>
    <t>Risk Free Rate</t>
  </si>
  <si>
    <t>10-year US treasury yield</t>
  </si>
  <si>
    <t>Depreciation (% of revenue)</t>
  </si>
  <si>
    <t>Beta</t>
  </si>
  <si>
    <t>Yahoo Finance</t>
  </si>
  <si>
    <t>Working Capital (% of revenue)</t>
  </si>
  <si>
    <t>Equity Risk Premium</t>
  </si>
  <si>
    <t>Damodaran</t>
  </si>
  <si>
    <t>Cost of Debt</t>
  </si>
  <si>
    <t>Estimated from Apple's outstanding bond yields</t>
  </si>
  <si>
    <t>Assuming investments remain a stable percentage of revenue, consistent with historical trends.</t>
  </si>
  <si>
    <t>Market Cap</t>
  </si>
  <si>
    <t>Debt</t>
  </si>
  <si>
    <t>Yahoo FInance</t>
  </si>
  <si>
    <t>Historical average of each driver as a percentage of EBIT</t>
  </si>
  <si>
    <t>Shares Outstanding</t>
  </si>
  <si>
    <t>Terminal Growth</t>
  </si>
  <si>
    <t>Long-term U.S. nominal GDP growth expectations</t>
  </si>
  <si>
    <t>Effective Tax Rate</t>
  </si>
  <si>
    <t>Average of historical tax paid as a percentage of EBIT</t>
  </si>
  <si>
    <t>Historical</t>
  </si>
  <si>
    <t>Average</t>
  </si>
  <si>
    <t>Revenue</t>
  </si>
  <si>
    <t>% growth</t>
  </si>
  <si>
    <t>n/a</t>
  </si>
  <si>
    <t>EBIT</t>
  </si>
  <si>
    <t>% of revenue</t>
  </si>
  <si>
    <t>EBITDA</t>
  </si>
  <si>
    <t>Depreciation</t>
  </si>
  <si>
    <t>CapEx</t>
  </si>
  <si>
    <t>Working Capital</t>
  </si>
  <si>
    <t>Tax</t>
  </si>
  <si>
    <t>CAPM</t>
  </si>
  <si>
    <t>Risk-free Rate</t>
  </si>
  <si>
    <t xml:space="preserve">Beta </t>
  </si>
  <si>
    <t>Equity Risk Premium (ERP)</t>
  </si>
  <si>
    <t>Cost of Equity</t>
  </si>
  <si>
    <t>Capital Structure</t>
  </si>
  <si>
    <t>Equity Weight</t>
  </si>
  <si>
    <t>Debt Weight</t>
  </si>
  <si>
    <t>t +</t>
  </si>
  <si>
    <t>FCFF</t>
  </si>
  <si>
    <t>Terminal Value</t>
  </si>
  <si>
    <t>Enterprise Value</t>
  </si>
  <si>
    <t>Net Debt</t>
  </si>
  <si>
    <t>Equity Value</t>
  </si>
  <si>
    <t xml:space="preserve">Shares Outstanding </t>
  </si>
  <si>
    <t>Per-share Value</t>
  </si>
  <si>
    <t>Sensitivity Analysis</t>
  </si>
  <si>
    <t>g</t>
  </si>
  <si>
    <t>Year</t>
  </si>
  <si>
    <t>2026 (P)</t>
  </si>
  <si>
    <t>2027 (P)</t>
  </si>
  <si>
    <t>2028 (P)</t>
  </si>
  <si>
    <t>2029 (P)</t>
  </si>
  <si>
    <t>2030 (P)</t>
  </si>
  <si>
    <t>PV Forecast FCFF</t>
  </si>
  <si>
    <t>PV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</si>
</sst>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[$$-409]* #,##0.00_);_([$$-409]* \(#,##0.00\);_([$$-409]* &quot;-&quot;??_);_(@_)"/>
    <numFmt numFmtId="168" formatCode="_-* #,##0_-;\-* #,##0_-;_-* &quot;-&quot;??_-;_-@_-"/>
  </numFmts>
  <fonts count="28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6"/>
      <color theme="0"/>
      <name val="Calibri Light"/>
      <scheme val="major"/>
    </font>
    <font>
      <sz val="11"/>
      <color theme="0"/>
      <name val="Calibri Light"/>
      <scheme val="maj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Calibri"/>
      <scheme val="minor"/>
    </font>
    <font>
      <sz val="11"/>
      <color theme="4"/>
      <name val="Calibri"/>
      <family val="2"/>
      <scheme val="minor"/>
    </font>
    <font>
      <sz val="16"/>
      <color rgb="FFFFFFFF"/>
      <name val="Calibri Light"/>
      <charset val="1"/>
    </font>
    <font>
      <sz val="12"/>
      <color theme="4"/>
      <name val="Calibri"/>
      <family val="2"/>
      <scheme val="minor"/>
    </font>
    <font>
      <sz val="12"/>
      <color theme="9"/>
      <name val="Calibri"/>
      <family val="2"/>
      <scheme val="minor"/>
    </font>
    <font>
      <u/>
      <sz val="14"/>
      <color rgb="FF000000"/>
      <name val="Calibri"/>
      <scheme val="minor"/>
    </font>
    <font>
      <b/>
      <sz val="11"/>
      <color rgb="FF000000"/>
      <name val="Calibri"/>
      <scheme val="minor"/>
    </font>
    <font>
      <sz val="14"/>
      <color rgb="FFFFFFFF"/>
      <name val="Calibri Light"/>
      <scheme val="major"/>
    </font>
    <font>
      <sz val="11"/>
      <color rgb="FFFFFFFF"/>
      <name val="Calibri"/>
      <scheme val="minor"/>
    </font>
    <font>
      <u/>
      <sz val="11"/>
      <color theme="1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2"/>
      <color rgb="FF000000"/>
      <name val="Calibri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5">
    <xf numFmtId="0" fontId="0" fillId="0" borderId="0" xfId="0"/>
    <xf numFmtId="0" fontId="1" fillId="0" borderId="0" xfId="0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2" fillId="2" borderId="0" xfId="0" applyFont="1" applyFill="1"/>
    <xf numFmtId="166" fontId="0" fillId="0" borderId="0" xfId="0" applyNumberFormat="1"/>
    <xf numFmtId="9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3" borderId="0" xfId="0" applyFont="1" applyFill="1"/>
    <xf numFmtId="164" fontId="0" fillId="0" borderId="0" xfId="0" applyNumberFormat="1"/>
    <xf numFmtId="0" fontId="4" fillId="0" borderId="0" xfId="1" applyBorder="1"/>
    <xf numFmtId="0" fontId="4" fillId="0" borderId="0" xfId="1" applyFill="1" applyBorder="1"/>
    <xf numFmtId="0" fontId="7" fillId="0" borderId="1" xfId="0" applyFont="1" applyBorder="1"/>
    <xf numFmtId="0" fontId="0" fillId="0" borderId="1" xfId="0" applyBorder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0" fontId="0" fillId="0" borderId="0" xfId="0" applyNumberFormat="1" applyAlignment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4" xfId="0" applyFont="1" applyBorder="1"/>
    <xf numFmtId="0" fontId="0" fillId="0" borderId="4" xfId="0" applyBorder="1"/>
    <xf numFmtId="0" fontId="0" fillId="0" borderId="6" xfId="0" applyBorder="1"/>
    <xf numFmtId="10" fontId="0" fillId="3" borderId="7" xfId="0" applyNumberFormat="1" applyFill="1" applyBorder="1"/>
    <xf numFmtId="0" fontId="0" fillId="0" borderId="2" xfId="0" applyBorder="1"/>
    <xf numFmtId="0" fontId="0" fillId="0" borderId="7" xfId="0" applyBorder="1"/>
    <xf numFmtId="0" fontId="0" fillId="0" borderId="0" xfId="0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1" fillId="2" borderId="0" xfId="0" applyFont="1" applyFill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10" fontId="13" fillId="0" borderId="7" xfId="0" applyNumberFormat="1" applyFont="1" applyBorder="1"/>
    <xf numFmtId="10" fontId="0" fillId="0" borderId="3" xfId="0" applyNumberFormat="1" applyBorder="1"/>
    <xf numFmtId="0" fontId="15" fillId="2" borderId="0" xfId="0" applyFont="1" applyFill="1" applyAlignment="1">
      <alignment vertical="center"/>
    </xf>
    <xf numFmtId="0" fontId="6" fillId="3" borderId="0" xfId="0" applyFont="1" applyFill="1"/>
    <xf numFmtId="0" fontId="5" fillId="3" borderId="0" xfId="0" applyFont="1" applyFill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0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9" fontId="0" fillId="0" borderId="0" xfId="0" applyNumberFormat="1" applyAlignment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9" fontId="0" fillId="0" borderId="0" xfId="0" applyNumberFormat="1" applyBorder="1" applyAlignment="1"/>
    <xf numFmtId="165" fontId="0" fillId="0" borderId="0" xfId="0" applyNumberFormat="1" applyBorder="1"/>
    <xf numFmtId="9" fontId="0" fillId="0" borderId="0" xfId="0" applyNumberFormat="1" applyBorder="1"/>
    <xf numFmtId="0" fontId="0" fillId="0" borderId="13" xfId="0" applyBorder="1"/>
    <xf numFmtId="0" fontId="21" fillId="2" borderId="0" xfId="0" applyFont="1" applyFill="1"/>
    <xf numFmtId="0" fontId="0" fillId="0" borderId="0" xfId="0" applyAlignment="1">
      <alignment horizontal="left"/>
    </xf>
    <xf numFmtId="0" fontId="22" fillId="0" borderId="0" xfId="0" applyFont="1"/>
    <xf numFmtId="0" fontId="22" fillId="0" borderId="0" xfId="0" applyFont="1" applyBorder="1"/>
    <xf numFmtId="0" fontId="0" fillId="0" borderId="0" xfId="0" applyBorder="1" applyAlignment="1">
      <alignment horizontal="left"/>
    </xf>
    <xf numFmtId="166" fontId="14" fillId="0" borderId="0" xfId="0" applyNumberFormat="1" applyFont="1"/>
    <xf numFmtId="165" fontId="23" fillId="0" borderId="0" xfId="0" applyNumberFormat="1" applyFont="1"/>
    <xf numFmtId="166" fontId="24" fillId="0" borderId="0" xfId="0" applyNumberFormat="1" applyFont="1"/>
    <xf numFmtId="10" fontId="23" fillId="0" borderId="0" xfId="0" applyNumberFormat="1" applyFont="1"/>
    <xf numFmtId="166" fontId="24" fillId="0" borderId="8" xfId="0" applyNumberFormat="1" applyFont="1" applyBorder="1"/>
    <xf numFmtId="10" fontId="24" fillId="0" borderId="0" xfId="0" applyNumberFormat="1" applyFont="1"/>
    <xf numFmtId="3" fontId="24" fillId="0" borderId="0" xfId="0" applyNumberFormat="1" applyFont="1"/>
    <xf numFmtId="10" fontId="24" fillId="0" borderId="5" xfId="0" applyNumberFormat="1" applyFont="1" applyBorder="1"/>
    <xf numFmtId="0" fontId="24" fillId="0" borderId="5" xfId="0" applyFont="1" applyBorder="1"/>
    <xf numFmtId="10" fontId="24" fillId="0" borderId="7" xfId="0" applyNumberFormat="1" applyFont="1" applyBorder="1"/>
    <xf numFmtId="165" fontId="24" fillId="3" borderId="10" xfId="0" applyNumberFormat="1" applyFont="1" applyFill="1" applyBorder="1"/>
    <xf numFmtId="166" fontId="24" fillId="0" borderId="5" xfId="0" applyNumberFormat="1" applyFont="1" applyBorder="1"/>
    <xf numFmtId="0" fontId="0" fillId="3" borderId="11" xfId="0" applyFill="1" applyBorder="1"/>
    <xf numFmtId="166" fontId="0" fillId="3" borderId="12" xfId="0" applyNumberFormat="1" applyFill="1" applyBorder="1"/>
    <xf numFmtId="0" fontId="0" fillId="0" borderId="14" xfId="0" applyBorder="1"/>
    <xf numFmtId="10" fontId="24" fillId="0" borderId="15" xfId="0" applyNumberFormat="1" applyFont="1" applyBorder="1"/>
    <xf numFmtId="167" fontId="16" fillId="0" borderId="0" xfId="0" applyNumberFormat="1" applyFont="1" applyAlignment="1"/>
    <xf numFmtId="167" fontId="17" fillId="0" borderId="0" xfId="0" applyNumberFormat="1" applyFont="1" applyAlignment="1"/>
    <xf numFmtId="166" fontId="0" fillId="0" borderId="0" xfId="0" applyNumberFormat="1" applyBorder="1" applyAlignment="1"/>
    <xf numFmtId="0" fontId="0" fillId="0" borderId="0" xfId="0" applyBorder="1" applyAlignment="1">
      <alignment vertical="top"/>
    </xf>
    <xf numFmtId="10" fontId="0" fillId="0" borderId="0" xfId="0" applyNumberFormat="1" applyAlignment="1">
      <alignment vertical="top" wrapText="1"/>
    </xf>
    <xf numFmtId="9" fontId="14" fillId="0" borderId="0" xfId="0" applyNumberFormat="1" applyFont="1"/>
    <xf numFmtId="165" fontId="14" fillId="0" borderId="0" xfId="0" applyNumberFormat="1" applyFont="1"/>
    <xf numFmtId="10" fontId="14" fillId="0" borderId="0" xfId="0" applyNumberFormat="1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9" fontId="14" fillId="0" borderId="0" xfId="0" applyNumberFormat="1" applyFont="1" applyBorder="1" applyAlignment="1">
      <alignment horizontal="left"/>
    </xf>
    <xf numFmtId="10" fontId="24" fillId="0" borderId="0" xfId="0" applyNumberFormat="1" applyFont="1" applyAlignment="1">
      <alignment horizontal="left"/>
    </xf>
    <xf numFmtId="165" fontId="24" fillId="0" borderId="0" xfId="0" applyNumberFormat="1" applyFont="1"/>
    <xf numFmtId="166" fontId="14" fillId="0" borderId="0" xfId="0" applyNumberFormat="1" applyFont="1" applyBorder="1" applyAlignment="1">
      <alignment horizontal="left"/>
    </xf>
    <xf numFmtId="166" fontId="14" fillId="0" borderId="0" xfId="0" applyNumberFormat="1" applyFont="1" applyAlignment="1">
      <alignment horizontal="left"/>
    </xf>
    <xf numFmtId="10" fontId="14" fillId="0" borderId="0" xfId="0" applyNumberFormat="1" applyFont="1" applyAlignment="1">
      <alignment horizontal="left"/>
    </xf>
    <xf numFmtId="168" fontId="0" fillId="0" borderId="0" xfId="0" applyNumberFormat="1"/>
    <xf numFmtId="0" fontId="2" fillId="2" borderId="0" xfId="0" applyFont="1" applyFill="1" applyAlignment="1">
      <alignment horizontal="left"/>
    </xf>
    <xf numFmtId="9" fontId="0" fillId="0" borderId="0" xfId="0" applyNumberFormat="1" applyAlignment="1">
      <alignment horizontal="left" wrapText="1"/>
    </xf>
    <xf numFmtId="0" fontId="0" fillId="0" borderId="0" xfId="0" applyAlignment="1">
      <alignment horizontal="center"/>
    </xf>
    <xf numFmtId="0" fontId="20" fillId="2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9" fontId="0" fillId="0" borderId="0" xfId="0" applyNumberFormat="1" applyAlignment="1">
      <alignment horizontal="left" wrapText="1"/>
    </xf>
    <xf numFmtId="10" fontId="0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wrapText="1"/>
    </xf>
    <xf numFmtId="0" fontId="2" fillId="2" borderId="0" xfId="0" applyFont="1" applyFill="1" applyAlignment="1">
      <alignment horizontal="left"/>
    </xf>
    <xf numFmtId="0" fontId="0" fillId="0" borderId="0" xfId="0" applyBorder="1" applyAlignment="1"/>
    <xf numFmtId="0" fontId="24" fillId="0" borderId="0" xfId="0" applyFont="1"/>
    <xf numFmtId="0" fontId="25" fillId="0" borderId="0" xfId="0" applyFont="1" applyAlignment="1"/>
    <xf numFmtId="0" fontId="12" fillId="0" borderId="0" xfId="0" applyFont="1" applyAlignment="1">
      <alignment horizontal="left" vertical="top"/>
    </xf>
    <xf numFmtId="0" fontId="26" fillId="0" borderId="0" xfId="0" applyFont="1"/>
    <xf numFmtId="0" fontId="19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Charts!C2:L2</c:f>
              <c:strCach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 (P)</c:v>
                </c:pt>
                <c:pt idx="6">
                  <c:v>2027 (P)</c:v>
                </c:pt>
                <c:pt idx="7">
                  <c:v>2028 (P)</c:v>
                </c:pt>
                <c:pt idx="8">
                  <c:v>2029 (P)</c:v>
                </c:pt>
                <c:pt idx="9">
                  <c:v>2030 (P)</c:v>
                </c:pt>
              </c:strCache>
            </c:strRef>
          </c:cat>
          <c:val>
            <c:numRef>
              <c:f>Charts!$C$3:$L$3</c:f>
              <c:numCache>
                <c:formatCode>_(* #,##0_);_(* \(#,##0\);_(* "-"??_);_(@_)</c:formatCode>
                <c:ptCount val="10"/>
                <c:pt idx="0">
                  <c:v>365817</c:v>
                </c:pt>
                <c:pt idx="1">
                  <c:v>394328</c:v>
                </c:pt>
                <c:pt idx="2">
                  <c:v>383285</c:v>
                </c:pt>
                <c:pt idx="3">
                  <c:v>391035</c:v>
                </c:pt>
                <c:pt idx="4">
                  <c:v>416161</c:v>
                </c:pt>
                <c:pt idx="5" formatCode="_-* #,##0_-;\-* #,##0_-;_-* &quot;-&quot;??_-;_-@_-">
                  <c:v>441130.66000000003</c:v>
                </c:pt>
                <c:pt idx="6" formatCode="_-* #,##0_-;\-* #,##0_-;_-* &quot;-&quot;??_-;_-@_-">
                  <c:v>465392.84630000003</c:v>
                </c:pt>
                <c:pt idx="7" formatCode="_-* #,##0_-;\-* #,##0_-;_-* &quot;-&quot;??_-;_-@_-">
                  <c:v>488662.48861500004</c:v>
                </c:pt>
                <c:pt idx="8" formatCode="_-* #,##0_-;\-* #,##0_-;_-* &quot;-&quot;??_-;_-@_-">
                  <c:v>510652.30060267501</c:v>
                </c:pt>
                <c:pt idx="9" formatCode="_-* #,##0_-;\-* #,##0_-;_-* &quot;-&quot;??_-;_-@_-">
                  <c:v>531078.39262678206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3-4129-9BC8-6DD9214D5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032071"/>
        <c:axId val="1523034119"/>
      </c:lineChart>
      <c:catAx>
        <c:axId val="1523032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34119"/>
        <c:crosses val="autoZero"/>
        <c:auto val="1"/>
        <c:lblAlgn val="ctr"/>
        <c:lblOffset val="100"/>
        <c:noMultiLvlLbl val="0"/>
      </c:catAx>
      <c:valAx>
        <c:axId val="1523034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32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{"FCFF"}</c:f>
              <c:strCache>
                <c:ptCount val="1"/>
                <c:pt idx="0">
                  <c:v>FCFF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Charts!C22:K22</c:f>
              <c:strCach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 (P)</c:v>
                </c:pt>
                <c:pt idx="5">
                  <c:v>2027 (P)</c:v>
                </c:pt>
                <c:pt idx="6">
                  <c:v>2028 (P)</c:v>
                </c:pt>
                <c:pt idx="7">
                  <c:v>2029 (P)</c:v>
                </c:pt>
                <c:pt idx="8">
                  <c:v>2030 (P)</c:v>
                </c:pt>
              </c:strCache>
            </c:strRef>
          </c:cat>
          <c:val>
            <c:numRef>
              <c:f>Charts!$C$23:$K$23</c:f>
              <c:numCache>
                <c:formatCode>_(* #,##0_);_(* \(#,##0\);_(* "-"??_);_(@_)</c:formatCode>
                <c:ptCount val="9"/>
                <c:pt idx="0">
                  <c:v>109755</c:v>
                </c:pt>
                <c:pt idx="1">
                  <c:v>81285</c:v>
                </c:pt>
                <c:pt idx="2">
                  <c:v>117128</c:v>
                </c:pt>
                <c:pt idx="3" formatCode="General">
                  <c:v>105583</c:v>
                </c:pt>
                <c:pt idx="4" formatCode="General">
                  <c:v>111289.48125656528</c:v>
                </c:pt>
                <c:pt idx="5" formatCode="General">
                  <c:v>120602.683161318</c:v>
                </c:pt>
                <c:pt idx="6" formatCode="General">
                  <c:v>126960.32013170287</c:v>
                </c:pt>
                <c:pt idx="7" formatCode="General">
                  <c:v>133014.98291995469</c:v>
                </c:pt>
                <c:pt idx="8" formatCode="General">
                  <c:v>138689.85293471289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7-4F0D-B89D-19E369AA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529288"/>
        <c:axId val="961918984"/>
      </c:lineChart>
      <c:catAx>
        <c:axId val="954529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918984"/>
        <c:crosses val="autoZero"/>
        <c:auto val="1"/>
        <c:lblAlgn val="ctr"/>
        <c:lblOffset val="100"/>
        <c:noMultiLvlLbl val="0"/>
      </c:catAx>
      <c:valAx>
        <c:axId val="96191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2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Valuation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Charts!P2:Q2</c:f>
              <c:strCache>
                <c:ptCount val="2"/>
                <c:pt idx="0">
                  <c:v>PV Forecast FCFF</c:v>
                </c:pt>
                <c:pt idx="1">
                  <c:v>PV Terminal</c:v>
                </c:pt>
              </c:strCache>
            </c:strRef>
          </c:cat>
          <c:val>
            <c:numRef>
              <c:f>Charts!$P$3:$Q$3</c:f>
              <c:numCache>
                <c:formatCode>General</c:formatCode>
                <c:ptCount val="2"/>
                <c:pt idx="0">
                  <c:v>630557.32040425367</c:v>
                </c:pt>
                <c:pt idx="1">
                  <c:v>2964702.2387337866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0-461F-9F96-1CA3B45C3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0595464"/>
        <c:axId val="840609800"/>
      </c:barChart>
      <c:catAx>
        <c:axId val="84059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09800"/>
        <c:crosses val="autoZero"/>
        <c:auto val="1"/>
        <c:lblAlgn val="ctr"/>
        <c:lblOffset val="100"/>
        <c:noMultiLvlLbl val="0"/>
      </c:catAx>
      <c:valAx>
        <c:axId val="84060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9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4</xdr:row>
      <xdr:rowOff>85725</xdr:rowOff>
    </xdr:from>
    <xdr:to>
      <xdr:col>10</xdr:col>
      <xdr:colOff>552450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B6295-D764-1B00-B410-D2548AA16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257175</xdr:colOff>
      <xdr:row>25</xdr:row>
      <xdr:rowOff>0</xdr:rowOff>
    </xdr:from>
    <xdr:to>
      <xdr:col>10</xdr:col>
      <xdr:colOff>561975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8597A-A59B-AE1B-81F7-83804565DFCA}"/>
            </a:ext>
            <a:ext uri="{147F2762-F138-4A5C-976F-8EAC2B608ADB}">
              <a16:predDERef xmlns:a16="http://schemas.microsoft.com/office/drawing/2014/main" pred="{10FB6295-D764-1B00-B410-D2548AA16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533400</xdr:colOff>
      <xdr:row>4</xdr:row>
      <xdr:rowOff>38100</xdr:rowOff>
    </xdr:from>
    <xdr:to>
      <xdr:col>18</xdr:col>
      <xdr:colOff>247650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DD31F-8803-C7AC-39BA-ABCD6E80A806}"/>
            </a:ext>
            <a:ext uri="{147F2762-F138-4A5C-976F-8EAC2B608ADB}">
              <a16:predDERef xmlns:a16="http://schemas.microsoft.com/office/drawing/2014/main" pred="{52C8597A-A59B-AE1B-81F7-83804565D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A33A-5CAF-4BEA-A994-5A844E754896}">
  <dimension ref="B2:E33"/>
  <sheetViews>
    <sheetView tabSelected="1" workbookViewId="0">
      <selection activeCell="E6" sqref="E6"/>
    </sheetView>
  </sheetViews>
  <sheetFormatPr defaultRowHeight="15"/>
  <cols>
    <col min="1" max="1" width="2.85546875" customWidth="1"/>
    <col min="2" max="2" width="28" customWidth="1"/>
    <col min="3" max="3" width="53" customWidth="1"/>
    <col min="5" max="5" width="40.42578125" customWidth="1"/>
  </cols>
  <sheetData>
    <row r="2" spans="2:5" ht="37.5" customHeight="1">
      <c r="B2" s="16" t="s">
        <v>0</v>
      </c>
      <c r="C2" s="41" t="s">
        <v>1</v>
      </c>
      <c r="D2" s="42"/>
      <c r="E2" s="43"/>
    </row>
    <row r="4" spans="2:5" ht="15.75">
      <c r="B4" s="113" t="s">
        <v>2</v>
      </c>
      <c r="C4" s="45">
        <v>46211</v>
      </c>
    </row>
    <row r="5" spans="2:5" ht="15.75">
      <c r="B5" s="44" t="s">
        <v>3</v>
      </c>
      <c r="C5" s="44" t="s">
        <v>4</v>
      </c>
    </row>
    <row r="6" spans="2:5" ht="15.75">
      <c r="B6" s="44" t="s">
        <v>5</v>
      </c>
      <c r="C6" s="44" t="s">
        <v>6</v>
      </c>
    </row>
    <row r="8" spans="2:5" ht="15" customHeight="1"/>
    <row r="9" spans="2:5" ht="24" customHeight="1">
      <c r="B9" s="46" t="s">
        <v>7</v>
      </c>
      <c r="C9" s="14"/>
    </row>
    <row r="10" spans="2:5" ht="15.75">
      <c r="B10" s="44" t="s">
        <v>8</v>
      </c>
      <c r="C10" s="78">
        <v>310.66000000000003</v>
      </c>
    </row>
    <row r="11" spans="2:5" ht="15.75">
      <c r="B11" s="44" t="s">
        <v>9</v>
      </c>
      <c r="C11" s="79">
        <f>DCF!C18</f>
        <v>160.91756160627159</v>
      </c>
    </row>
    <row r="12" spans="2:5" ht="15.75">
      <c r="B12" s="44" t="s">
        <v>10</v>
      </c>
      <c r="C12" s="48">
        <f>(C11-C10)/C10</f>
        <v>-0.4820139007072955</v>
      </c>
    </row>
    <row r="13" spans="2:5" ht="15.75">
      <c r="B13" s="44" t="s">
        <v>11</v>
      </c>
      <c r="C13" s="49" t="str" cm="1">
        <f t="array" ref="C13">_xlfn.IFS(C12&gt;10%, "BUY", C12&lt;-10%, "SELL", -10%&lt;C12&lt;10%, "HOLD")</f>
        <v>SELL</v>
      </c>
    </row>
    <row r="16" spans="2:5" ht="24.75" customHeight="1">
      <c r="B16" s="47" t="s">
        <v>12</v>
      </c>
      <c r="C16" s="15"/>
    </row>
    <row r="17" spans="2:3">
      <c r="B17" s="12" t="s">
        <v>13</v>
      </c>
    </row>
    <row r="18" spans="2:3">
      <c r="B18" s="13" t="s">
        <v>14</v>
      </c>
    </row>
    <row r="19" spans="2:3">
      <c r="B19" s="13" t="s">
        <v>15</v>
      </c>
    </row>
    <row r="20" spans="2:3">
      <c r="B20" s="12" t="s">
        <v>16</v>
      </c>
    </row>
    <row r="21" spans="2:3">
      <c r="B21" s="12" t="s">
        <v>17</v>
      </c>
    </row>
    <row r="22" spans="2:3">
      <c r="B22" s="12" t="s">
        <v>18</v>
      </c>
    </row>
    <row r="23" spans="2:3">
      <c r="B23" s="12" t="s">
        <v>19</v>
      </c>
    </row>
    <row r="26" spans="2:3">
      <c r="B26" s="114" t="s">
        <v>20</v>
      </c>
      <c r="C26" s="112"/>
    </row>
    <row r="27" spans="2:3">
      <c r="B27" s="114" t="s">
        <v>21</v>
      </c>
      <c r="C27" s="112"/>
    </row>
    <row r="33" spans="2:2">
      <c r="B33" s="111" t="s">
        <v>22</v>
      </c>
    </row>
  </sheetData>
  <mergeCells count="2">
    <mergeCell ref="B26:C26"/>
    <mergeCell ref="B27:C27"/>
  </mergeCells>
  <conditionalFormatting sqref="C13">
    <cfRule type="containsText" dxfId="1" priority="3" operator="containsText" text="BUY">
      <formula>NOT(ISERROR(SEARCH("BUY",C13)))</formula>
    </cfRule>
  </conditionalFormatting>
  <conditionalFormatting sqref="C13">
    <cfRule type="containsText" dxfId="0" priority="2" operator="containsText" text="SELL">
      <formula>NOT(ISERROR(SEARCH("SELL",C13)))</formula>
    </cfRule>
  </conditionalFormatting>
  <hyperlinks>
    <hyperlink ref="B17" location="'Assumptions'!A1" display="Assumptions" xr:uid="{FADD01AF-6DD6-4DC0-B03C-2A8989E5D299}"/>
    <hyperlink ref="B18" location="'Historical Financials'!A1" display="Historical Financials" xr:uid="{C3B39444-B3CD-4359-919C-0373E4C6C469}"/>
    <hyperlink ref="B19" location="'Forecast'!A1" display="Forecast" xr:uid="{C2EB1BD0-699A-41B7-8D6F-C4E9CD982E3D}"/>
    <hyperlink ref="B20" location="'DCF'!A1" display="DCF" xr:uid="{792AEFDC-043C-4B70-A4F7-28FAE82F781C}"/>
    <hyperlink ref="B21" location="'WACC'!A1" display="WACC" xr:uid="{48557313-842D-49C5-A08C-C7AA9E1C8416}"/>
    <hyperlink ref="B22" location="'Sensitivity'!A1" display="Sensitivity" xr:uid="{9AE5AD7F-1057-4C82-9E69-5BA4199E5F1D}"/>
    <hyperlink ref="B23" location="'Charts'!A1" display="Charts" xr:uid="{AD9EA799-EE70-464C-95A8-0E225CDCBA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1BC3-E2A1-425E-B7CF-439D58DECF93}">
  <dimension ref="B2:O30"/>
  <sheetViews>
    <sheetView workbookViewId="0">
      <selection activeCell="Q22" sqref="Q22"/>
    </sheetView>
  </sheetViews>
  <sheetFormatPr defaultColWidth="9.140625" defaultRowHeight="15"/>
  <cols>
    <col min="1" max="1" width="2.85546875" customWidth="1"/>
    <col min="2" max="2" width="28" bestFit="1" customWidth="1"/>
    <col min="3" max="3" width="9.140625" customWidth="1"/>
    <col min="10" max="10" width="23.28515625" customWidth="1"/>
    <col min="11" max="11" width="10.85546875" customWidth="1"/>
    <col min="12" max="12" width="12" customWidth="1"/>
    <col min="13" max="13" width="9.85546875" customWidth="1"/>
  </cols>
  <sheetData>
    <row r="2" spans="2:15" ht="18.75">
      <c r="B2" s="97" t="s">
        <v>23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2:15" ht="18.75">
      <c r="B3" s="51"/>
      <c r="C3" s="52"/>
      <c r="D3" s="52"/>
      <c r="E3" s="52"/>
      <c r="F3" s="52"/>
      <c r="G3" s="52"/>
    </row>
    <row r="4" spans="2:15">
      <c r="B4" s="103" t="s">
        <v>24</v>
      </c>
      <c r="C4" s="103"/>
      <c r="D4" s="103"/>
      <c r="E4" s="103"/>
      <c r="F4" s="103"/>
      <c r="G4" s="103"/>
      <c r="J4" s="104" t="s">
        <v>25</v>
      </c>
      <c r="K4" s="104"/>
      <c r="L4" s="104"/>
      <c r="M4" s="104"/>
      <c r="N4" s="104"/>
      <c r="O4" s="104"/>
    </row>
    <row r="5" spans="2:15">
      <c r="B5" s="5" t="s">
        <v>26</v>
      </c>
      <c r="C5" s="5">
        <v>2026</v>
      </c>
      <c r="D5" s="5">
        <v>2027</v>
      </c>
      <c r="E5" s="5">
        <v>2028</v>
      </c>
      <c r="F5" s="5">
        <v>2029</v>
      </c>
      <c r="G5" s="5">
        <v>2030</v>
      </c>
      <c r="I5" s="10"/>
      <c r="J5" s="5" t="s">
        <v>26</v>
      </c>
      <c r="K5" s="5">
        <v>2026</v>
      </c>
      <c r="L5" s="5">
        <v>2027</v>
      </c>
      <c r="M5" s="5">
        <v>2028</v>
      </c>
      <c r="N5" s="5">
        <v>2029</v>
      </c>
      <c r="O5" s="5">
        <v>2030</v>
      </c>
    </row>
    <row r="6" spans="2:15">
      <c r="B6" t="s">
        <v>24</v>
      </c>
      <c r="C6" s="83">
        <v>0.06</v>
      </c>
      <c r="D6" s="84">
        <v>5.5E-2</v>
      </c>
      <c r="E6" s="83">
        <v>0.05</v>
      </c>
      <c r="F6" s="84">
        <v>4.4999999999999998E-2</v>
      </c>
      <c r="G6" s="83">
        <v>0.04</v>
      </c>
      <c r="J6" t="s">
        <v>27</v>
      </c>
      <c r="K6" s="89">
        <f>'Historical Financials'!$H$6</f>
        <v>0.30674711364156471</v>
      </c>
      <c r="L6" s="8">
        <f>K6+0.001</f>
        <v>0.30774711364156471</v>
      </c>
      <c r="M6" s="8">
        <f>L6+0.001</f>
        <v>0.30874711364156471</v>
      </c>
      <c r="N6" s="8">
        <f>M6+0.001</f>
        <v>0.30974711364156471</v>
      </c>
      <c r="O6" s="8">
        <f>N6+0.001</f>
        <v>0.31074711364156471</v>
      </c>
    </row>
    <row r="7" spans="2:15">
      <c r="C7" s="7"/>
      <c r="D7" s="8"/>
      <c r="E7" s="7"/>
      <c r="F7" s="8"/>
      <c r="G7" s="7"/>
      <c r="K7" s="7"/>
      <c r="L7" s="8"/>
      <c r="M7" s="7"/>
      <c r="N7" s="8"/>
      <c r="O7" s="7"/>
    </row>
    <row r="8" spans="2:15">
      <c r="B8" s="60" t="s">
        <v>28</v>
      </c>
      <c r="C8" s="53" t="s">
        <v>29</v>
      </c>
      <c r="D8" s="54"/>
      <c r="E8" s="55"/>
      <c r="F8" s="54"/>
      <c r="G8" s="55"/>
      <c r="J8" s="59" t="s">
        <v>28</v>
      </c>
      <c r="K8" s="50" t="s">
        <v>30</v>
      </c>
      <c r="L8" s="8"/>
      <c r="M8" s="7"/>
      <c r="N8" s="8"/>
      <c r="O8" s="7"/>
    </row>
    <row r="9" spans="2:15">
      <c r="B9" s="38"/>
      <c r="C9" s="53" t="s">
        <v>31</v>
      </c>
      <c r="D9" s="54"/>
      <c r="E9" s="55"/>
      <c r="F9" s="54"/>
      <c r="G9" s="55"/>
      <c r="K9" s="50" t="s">
        <v>32</v>
      </c>
      <c r="L9" s="8"/>
      <c r="M9" s="7"/>
      <c r="N9" s="8"/>
      <c r="O9" s="7"/>
    </row>
    <row r="10" spans="2:15">
      <c r="B10" s="38"/>
      <c r="C10" s="53" t="s">
        <v>33</v>
      </c>
      <c r="D10" s="54"/>
      <c r="E10" s="55"/>
      <c r="F10" s="54"/>
      <c r="G10" s="55"/>
      <c r="K10" s="50" t="s">
        <v>34</v>
      </c>
      <c r="L10" s="8"/>
      <c r="M10" s="7"/>
      <c r="N10" s="8"/>
      <c r="O10" s="7"/>
    </row>
    <row r="11" spans="2:15">
      <c r="C11" s="50"/>
      <c r="D11" s="8"/>
      <c r="E11" s="7"/>
      <c r="F11" s="8"/>
      <c r="G11" s="7"/>
      <c r="K11" s="50"/>
      <c r="L11" s="8"/>
      <c r="M11" s="7"/>
      <c r="N11" s="8"/>
      <c r="O11" s="7"/>
    </row>
    <row r="12" spans="2:15">
      <c r="B12" s="59" t="s">
        <v>35</v>
      </c>
      <c r="C12" s="50" t="s">
        <v>36</v>
      </c>
      <c r="D12" s="8"/>
      <c r="E12" s="7"/>
      <c r="F12" s="8"/>
      <c r="G12" s="7"/>
      <c r="J12" s="59" t="s">
        <v>35</v>
      </c>
      <c r="K12" s="50" t="s">
        <v>37</v>
      </c>
      <c r="L12" s="8"/>
      <c r="M12" s="7"/>
      <c r="N12" s="8"/>
      <c r="O12" s="7"/>
    </row>
    <row r="13" spans="2:15">
      <c r="C13" s="100" t="s">
        <v>38</v>
      </c>
      <c r="D13" s="100"/>
      <c r="E13" s="100"/>
      <c r="F13" s="100"/>
      <c r="G13" s="100"/>
      <c r="K13" s="50"/>
      <c r="L13" s="8"/>
      <c r="M13" s="7"/>
      <c r="N13" s="8"/>
      <c r="O13" s="7"/>
    </row>
    <row r="14" spans="2:15" ht="15" customHeight="1">
      <c r="C14" s="100"/>
      <c r="D14" s="100"/>
      <c r="E14" s="100"/>
      <c r="F14" s="100"/>
      <c r="G14" s="100"/>
      <c r="K14" s="50"/>
      <c r="L14" s="8"/>
      <c r="M14" s="7"/>
      <c r="N14" s="8"/>
      <c r="O14" s="7"/>
    </row>
    <row r="15" spans="2:15">
      <c r="C15" s="95"/>
      <c r="D15" s="95"/>
      <c r="E15" s="95"/>
      <c r="F15" s="95"/>
      <c r="G15" s="95"/>
    </row>
    <row r="16" spans="2:15">
      <c r="C16" s="50"/>
      <c r="D16" s="8"/>
      <c r="E16" s="7"/>
      <c r="F16" s="8"/>
      <c r="G16" s="7"/>
    </row>
    <row r="17" spans="2:15">
      <c r="B17" s="105" t="s">
        <v>39</v>
      </c>
      <c r="C17" s="106"/>
      <c r="D17" s="106"/>
      <c r="E17" s="106"/>
      <c r="F17" s="106"/>
      <c r="G17" s="106"/>
      <c r="J17" s="98" t="s">
        <v>40</v>
      </c>
      <c r="K17" s="99"/>
      <c r="L17" s="99"/>
      <c r="M17" s="99"/>
      <c r="N17" s="99"/>
      <c r="O17" s="99"/>
    </row>
    <row r="18" spans="2:15">
      <c r="B18" s="5" t="s">
        <v>26</v>
      </c>
      <c r="C18" s="5">
        <v>2026</v>
      </c>
      <c r="D18" s="5">
        <v>2027</v>
      </c>
      <c r="E18" s="5">
        <v>2028</v>
      </c>
      <c r="F18" s="5">
        <v>2029</v>
      </c>
      <c r="G18" s="5">
        <v>2030</v>
      </c>
      <c r="J18" s="57" t="s">
        <v>41</v>
      </c>
      <c r="K18" s="33"/>
      <c r="L18" s="108" t="s">
        <v>42</v>
      </c>
      <c r="M18" s="108"/>
      <c r="N18" s="108"/>
      <c r="O18" s="108"/>
    </row>
    <row r="19" spans="2:15">
      <c r="B19" t="s">
        <v>43</v>
      </c>
      <c r="C19" s="67">
        <f>'Historical Financials'!$H$12</f>
        <v>2.8152287546971085E-2</v>
      </c>
      <c r="D19" s="67">
        <f>'Historical Financials'!$H$12</f>
        <v>2.8152287546971085E-2</v>
      </c>
      <c r="E19" s="67">
        <f>'Historical Financials'!$H$12</f>
        <v>2.8152287546971085E-2</v>
      </c>
      <c r="F19" s="67">
        <f>'Historical Financials'!$H$12</f>
        <v>2.8152287546971085E-2</v>
      </c>
      <c r="G19" s="67">
        <f>'Historical Financials'!$H$12</f>
        <v>2.8152287546971085E-2</v>
      </c>
      <c r="J19" s="38" t="s">
        <v>44</v>
      </c>
      <c r="K19" s="85">
        <v>4.2999999999999997E-2</v>
      </c>
      <c r="L19" s="109" t="s">
        <v>45</v>
      </c>
      <c r="M19" s="109"/>
      <c r="N19" s="109"/>
      <c r="O19" s="109"/>
    </row>
    <row r="20" spans="2:15">
      <c r="B20" t="s">
        <v>46</v>
      </c>
      <c r="C20" s="67">
        <f>'Historical Financials'!$H$10</f>
        <v>2.9287294156513832E-2</v>
      </c>
      <c r="D20" s="67">
        <f>'Historical Financials'!$H$10</f>
        <v>2.9287294156513832E-2</v>
      </c>
      <c r="E20" s="67">
        <f>'Historical Financials'!$H$10</f>
        <v>2.9287294156513832E-2</v>
      </c>
      <c r="F20" s="67">
        <f>'Historical Financials'!$H$10</f>
        <v>2.9287294156513832E-2</v>
      </c>
      <c r="G20" s="67">
        <f>'Historical Financials'!$H$10</f>
        <v>2.9287294156513832E-2</v>
      </c>
      <c r="J20" s="38" t="s">
        <v>47</v>
      </c>
      <c r="K20" s="86">
        <v>1.1000000000000001</v>
      </c>
      <c r="L20" s="109" t="s">
        <v>48</v>
      </c>
      <c r="M20" s="109"/>
      <c r="N20" s="109"/>
      <c r="O20" s="109"/>
    </row>
    <row r="21" spans="2:15">
      <c r="B21" t="s">
        <v>49</v>
      </c>
      <c r="C21" s="67">
        <f>'Historical Financials'!$H$14</f>
        <v>-3.5910292342006392E-2</v>
      </c>
      <c r="D21" s="67">
        <f>'Historical Financials'!$H$14</f>
        <v>-3.5910292342006392E-2</v>
      </c>
      <c r="E21" s="67">
        <f>'Historical Financials'!$H$14</f>
        <v>-3.5910292342006392E-2</v>
      </c>
      <c r="F21" s="67">
        <f>'Historical Financials'!$H$14</f>
        <v>-3.5910292342006392E-2</v>
      </c>
      <c r="G21" s="67">
        <f>'Historical Financials'!$H$14</f>
        <v>-3.5910292342006392E-2</v>
      </c>
      <c r="J21" s="81" t="s">
        <v>50</v>
      </c>
      <c r="K21" s="85">
        <v>4.2299999999999997E-2</v>
      </c>
      <c r="L21" s="109" t="s">
        <v>51</v>
      </c>
      <c r="M21" s="109"/>
      <c r="N21" s="109"/>
      <c r="O21" s="109"/>
    </row>
    <row r="22" spans="2:15" ht="15" customHeight="1">
      <c r="C22" s="19"/>
      <c r="D22" s="19"/>
      <c r="E22" s="19"/>
      <c r="F22" s="19"/>
      <c r="G22" s="19"/>
      <c r="J22" s="38" t="s">
        <v>52</v>
      </c>
      <c r="K22" s="87">
        <v>0.05</v>
      </c>
      <c r="L22" s="107" t="s">
        <v>53</v>
      </c>
      <c r="M22" s="107"/>
      <c r="N22" s="107"/>
      <c r="O22" s="107"/>
    </row>
    <row r="23" spans="2:15" ht="15.75" customHeight="1">
      <c r="B23" s="59" t="s">
        <v>28</v>
      </c>
      <c r="C23" s="101" t="s">
        <v>54</v>
      </c>
      <c r="D23" s="101"/>
      <c r="E23" s="101"/>
      <c r="F23" s="101"/>
      <c r="G23" s="101"/>
      <c r="J23" s="38"/>
      <c r="K23" s="61"/>
      <c r="L23" s="107"/>
      <c r="M23" s="107"/>
      <c r="N23" s="107"/>
      <c r="O23" s="107"/>
    </row>
    <row r="24" spans="2:15" ht="15" customHeight="1">
      <c r="C24" s="101"/>
      <c r="D24" s="101"/>
      <c r="E24" s="101"/>
      <c r="F24" s="101"/>
      <c r="G24" s="101"/>
      <c r="J24" s="38" t="s">
        <v>55</v>
      </c>
      <c r="K24" s="90">
        <v>4536000</v>
      </c>
      <c r="L24" s="38" t="s">
        <v>48</v>
      </c>
      <c r="M24" s="38"/>
      <c r="N24" s="38"/>
      <c r="O24" s="38"/>
    </row>
    <row r="25" spans="2:15" ht="15" customHeight="1">
      <c r="C25" s="82"/>
      <c r="D25" s="82"/>
      <c r="E25" s="82"/>
      <c r="F25" s="82"/>
      <c r="G25" s="82"/>
      <c r="J25" t="s">
        <v>56</v>
      </c>
      <c r="K25" s="91">
        <v>84710</v>
      </c>
      <c r="L25" t="s">
        <v>57</v>
      </c>
    </row>
    <row r="26" spans="2:15" ht="15" customHeight="1">
      <c r="B26" s="59" t="s">
        <v>35</v>
      </c>
      <c r="C26" s="102" t="s">
        <v>58</v>
      </c>
      <c r="D26" s="102"/>
      <c r="E26" s="102"/>
      <c r="F26" s="102"/>
      <c r="G26" s="102"/>
      <c r="J26" t="s">
        <v>59</v>
      </c>
      <c r="K26" s="91">
        <v>14690</v>
      </c>
      <c r="L26" t="s">
        <v>48</v>
      </c>
    </row>
    <row r="27" spans="2:15" ht="15" customHeight="1">
      <c r="C27" s="102"/>
      <c r="D27" s="102"/>
      <c r="E27" s="102"/>
      <c r="F27" s="102"/>
      <c r="G27" s="102"/>
      <c r="J27" t="s">
        <v>60</v>
      </c>
      <c r="K27" s="92">
        <v>0.04</v>
      </c>
      <c r="L27" s="102" t="s">
        <v>61</v>
      </c>
      <c r="M27" s="102"/>
      <c r="N27" s="102"/>
      <c r="O27" s="102"/>
    </row>
    <row r="28" spans="2:15" ht="15" customHeight="1">
      <c r="K28" s="58"/>
      <c r="L28" s="102"/>
      <c r="M28" s="102"/>
      <c r="N28" s="102"/>
      <c r="O28" s="102"/>
    </row>
    <row r="29" spans="2:15">
      <c r="J29" t="s">
        <v>62</v>
      </c>
      <c r="K29" s="88">
        <f>'Historical Financials'!$H$16</f>
        <v>0.16771089125384667</v>
      </c>
      <c r="L29" s="102" t="s">
        <v>63</v>
      </c>
      <c r="M29" s="102"/>
      <c r="N29" s="102"/>
      <c r="O29" s="102"/>
    </row>
    <row r="30" spans="2:15">
      <c r="L30" s="102"/>
      <c r="M30" s="102"/>
      <c r="N30" s="102"/>
      <c r="O30" s="102"/>
    </row>
  </sheetData>
  <mergeCells count="15">
    <mergeCell ref="L29:O30"/>
    <mergeCell ref="L22:O23"/>
    <mergeCell ref="L27:O28"/>
    <mergeCell ref="L18:O18"/>
    <mergeCell ref="L19:O19"/>
    <mergeCell ref="L20:O20"/>
    <mergeCell ref="L21:O21"/>
    <mergeCell ref="B2:O2"/>
    <mergeCell ref="J17:O17"/>
    <mergeCell ref="C13:G14"/>
    <mergeCell ref="C23:G24"/>
    <mergeCell ref="C26:G27"/>
    <mergeCell ref="B4:G4"/>
    <mergeCell ref="J4:O4"/>
    <mergeCell ref="B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workbookViewId="0">
      <selection activeCell="C6" sqref="C6"/>
    </sheetView>
  </sheetViews>
  <sheetFormatPr defaultRowHeight="15"/>
  <cols>
    <col min="1" max="1" width="2.85546875" customWidth="1"/>
    <col min="2" max="2" width="25.7109375" customWidth="1"/>
    <col min="3" max="7" width="11.5703125" bestFit="1" customWidth="1"/>
    <col min="8" max="8" width="11.5703125" customWidth="1"/>
  </cols>
  <sheetData>
    <row r="2" spans="2:9">
      <c r="B2" s="5" t="s">
        <v>64</v>
      </c>
      <c r="C2" s="5">
        <v>2025</v>
      </c>
      <c r="D2" s="5">
        <v>2024</v>
      </c>
      <c r="E2" s="5">
        <v>2023</v>
      </c>
      <c r="F2" s="5">
        <v>2022</v>
      </c>
      <c r="G2" s="5">
        <v>2021</v>
      </c>
      <c r="H2" s="17" t="s">
        <v>65</v>
      </c>
    </row>
    <row r="3" spans="2:9">
      <c r="B3" t="s">
        <v>66</v>
      </c>
      <c r="C3" s="62">
        <v>416161</v>
      </c>
      <c r="D3" s="62">
        <v>391035</v>
      </c>
      <c r="E3" s="62">
        <v>383285</v>
      </c>
      <c r="F3" s="62">
        <v>394328</v>
      </c>
      <c r="G3" s="62">
        <v>365817</v>
      </c>
    </row>
    <row r="4" spans="2:9">
      <c r="B4" s="1" t="s">
        <v>67</v>
      </c>
      <c r="C4" s="4">
        <f>C3/D3-1</f>
        <v>6.425511782832749E-2</v>
      </c>
      <c r="D4" s="4">
        <f t="shared" ref="D4:F4" si="0">D3/E3-1</f>
        <v>2.021994077514111E-2</v>
      </c>
      <c r="E4" s="4">
        <f t="shared" si="0"/>
        <v>-2.800460530319937E-2</v>
      </c>
      <c r="F4" s="4">
        <f t="shared" si="0"/>
        <v>7.7937876041846099E-2</v>
      </c>
      <c r="G4" s="18" t="s">
        <v>68</v>
      </c>
      <c r="H4" s="4">
        <f>AVERAGE(C4:F4)</f>
        <v>3.3602082335528832E-2</v>
      </c>
    </row>
    <row r="5" spans="2:9">
      <c r="B5" t="s">
        <v>69</v>
      </c>
      <c r="C5" s="62">
        <v>133050</v>
      </c>
      <c r="D5" s="62">
        <v>123216</v>
      </c>
      <c r="E5" s="62">
        <v>114301</v>
      </c>
      <c r="F5" s="62">
        <v>119437</v>
      </c>
      <c r="G5" s="62">
        <v>108949</v>
      </c>
    </row>
    <row r="6" spans="2:9">
      <c r="B6" s="1" t="s">
        <v>70</v>
      </c>
      <c r="C6" s="2">
        <f>C5/C3</f>
        <v>0.31970799762591884</v>
      </c>
      <c r="D6" s="2">
        <f t="shared" ref="D6:G6" si="1">D5/D3</f>
        <v>0.31510222870075566</v>
      </c>
      <c r="E6" s="2">
        <f t="shared" si="1"/>
        <v>0.29821412265024722</v>
      </c>
      <c r="F6" s="2">
        <f t="shared" si="1"/>
        <v>0.30288744395528594</v>
      </c>
      <c r="G6" s="2">
        <f t="shared" si="1"/>
        <v>0.29782377527561593</v>
      </c>
      <c r="H6" s="2">
        <f>AVERAGE(C6:G6)</f>
        <v>0.30674711364156471</v>
      </c>
    </row>
    <row r="7" spans="2:9">
      <c r="B7" t="s">
        <v>71</v>
      </c>
      <c r="C7" s="6">
        <f>C5+C9</f>
        <v>144748</v>
      </c>
      <c r="D7" s="6">
        <f t="shared" ref="D7:G7" si="2">D5+D9</f>
        <v>134661</v>
      </c>
      <c r="E7" s="6">
        <f t="shared" si="2"/>
        <v>125820</v>
      </c>
      <c r="F7" s="6">
        <f t="shared" si="2"/>
        <v>130541</v>
      </c>
      <c r="G7" s="6">
        <f t="shared" si="2"/>
        <v>120233</v>
      </c>
    </row>
    <row r="8" spans="2:9">
      <c r="B8" s="1" t="s">
        <v>70</v>
      </c>
      <c r="C8" s="2">
        <f>C7/C3</f>
        <v>0.34781731108873731</v>
      </c>
      <c r="D8" s="2">
        <f t="shared" ref="D8:G8" si="3">D7/D3</f>
        <v>0.34437070850435381</v>
      </c>
      <c r="E8" s="2">
        <f t="shared" si="3"/>
        <v>0.32826747720364741</v>
      </c>
      <c r="F8" s="2">
        <f t="shared" si="3"/>
        <v>0.3310467428130896</v>
      </c>
      <c r="G8" s="2">
        <f t="shared" si="3"/>
        <v>0.32866979938056462</v>
      </c>
      <c r="H8" s="2">
        <f>AVERAGE(C8:G8)</f>
        <v>0.33603440779807858</v>
      </c>
    </row>
    <row r="9" spans="2:9">
      <c r="B9" t="s">
        <v>72</v>
      </c>
      <c r="C9" s="62">
        <v>11698</v>
      </c>
      <c r="D9" s="62">
        <v>11445</v>
      </c>
      <c r="E9" s="62">
        <v>11519</v>
      </c>
      <c r="F9" s="62">
        <v>11104</v>
      </c>
      <c r="G9" s="62">
        <v>11284</v>
      </c>
    </row>
    <row r="10" spans="2:9">
      <c r="B10" s="4" t="s">
        <v>70</v>
      </c>
      <c r="C10" s="4">
        <f>C9/C3</f>
        <v>2.8109313462818475E-2</v>
      </c>
      <c r="D10" s="4">
        <f t="shared" ref="D10:G10" si="4">D9/D3</f>
        <v>2.9268479803598143E-2</v>
      </c>
      <c r="E10" s="4">
        <f t="shared" si="4"/>
        <v>3.0053354553400212E-2</v>
      </c>
      <c r="F10" s="4">
        <f t="shared" si="4"/>
        <v>2.8159298857803657E-2</v>
      </c>
      <c r="G10" s="4">
        <f t="shared" si="4"/>
        <v>3.084602410494865E-2</v>
      </c>
      <c r="H10" s="4">
        <f>AVERAGE(C10:G10)</f>
        <v>2.9287294156513832E-2</v>
      </c>
      <c r="I10" s="1"/>
    </row>
    <row r="11" spans="2:9">
      <c r="B11" t="s">
        <v>73</v>
      </c>
      <c r="C11" s="62">
        <v>12715</v>
      </c>
      <c r="D11" s="62">
        <v>9447</v>
      </c>
      <c r="E11" s="62">
        <v>10959</v>
      </c>
      <c r="F11" s="62">
        <v>10708</v>
      </c>
      <c r="G11" s="62">
        <v>11085</v>
      </c>
    </row>
    <row r="12" spans="2:9">
      <c r="B12" s="4" t="s">
        <v>70</v>
      </c>
      <c r="C12" s="4">
        <f>C11/C3</f>
        <v>3.0553079216937677E-2</v>
      </c>
      <c r="D12" s="4">
        <f t="shared" ref="D12:G12" si="5">D11/D3</f>
        <v>2.415896275269477E-2</v>
      </c>
      <c r="E12" s="4">
        <f t="shared" si="5"/>
        <v>2.859230076835775E-2</v>
      </c>
      <c r="F12" s="4">
        <f t="shared" si="5"/>
        <v>2.7155058732831552E-2</v>
      </c>
      <c r="G12" s="4">
        <f t="shared" si="5"/>
        <v>3.0302036264033657E-2</v>
      </c>
      <c r="H12" s="4">
        <f>AVERAGE(C12:G12)</f>
        <v>2.8152287546971085E-2</v>
      </c>
      <c r="I12" s="1"/>
    </row>
    <row r="13" spans="2:9">
      <c r="B13" t="s">
        <v>74</v>
      </c>
      <c r="C13" s="62">
        <v>-17674</v>
      </c>
      <c r="D13" s="62">
        <v>-23405</v>
      </c>
      <c r="E13" s="62">
        <v>-1742</v>
      </c>
      <c r="F13" s="62">
        <v>-18577</v>
      </c>
      <c r="G13" s="62">
        <v>-9355</v>
      </c>
    </row>
    <row r="14" spans="2:9">
      <c r="B14" s="1" t="s">
        <v>70</v>
      </c>
      <c r="C14" s="4">
        <f>C13/C3</f>
        <v>-4.2469140548970233E-2</v>
      </c>
      <c r="D14" s="4">
        <f t="shared" ref="D14:G14" si="6">D13/D3</f>
        <v>-5.9853977265462169E-2</v>
      </c>
      <c r="E14" s="4">
        <f t="shared" si="6"/>
        <v>-4.5449208813285154E-3</v>
      </c>
      <c r="F14" s="4">
        <f t="shared" si="6"/>
        <v>-4.711052727678481E-2</v>
      </c>
      <c r="G14" s="4">
        <f t="shared" si="6"/>
        <v>-2.557289573748623E-2</v>
      </c>
      <c r="H14" s="4">
        <f>AVERAGE(C14:G14)</f>
        <v>-3.5910292342006392E-2</v>
      </c>
      <c r="I14" s="1"/>
    </row>
    <row r="15" spans="2:9">
      <c r="B15" t="s">
        <v>75</v>
      </c>
      <c r="C15" s="62">
        <v>20719</v>
      </c>
      <c r="D15" s="62">
        <v>29749</v>
      </c>
      <c r="E15" s="62">
        <v>16741</v>
      </c>
      <c r="F15" s="62">
        <v>19300</v>
      </c>
      <c r="G15" s="62">
        <v>14527</v>
      </c>
    </row>
    <row r="16" spans="2:9">
      <c r="B16" s="1" t="s">
        <v>62</v>
      </c>
      <c r="C16" s="3">
        <f>C15/C5</f>
        <v>0.15572341225103345</v>
      </c>
      <c r="D16" s="3">
        <f t="shared" ref="D16:G16" si="7">D15/D5</f>
        <v>0.24143780028567718</v>
      </c>
      <c r="E16" s="3">
        <f t="shared" si="7"/>
        <v>0.14646416041854401</v>
      </c>
      <c r="F16" s="3">
        <f t="shared" si="7"/>
        <v>0.16159146663094351</v>
      </c>
      <c r="G16" s="3">
        <f t="shared" si="7"/>
        <v>0.13333761668303518</v>
      </c>
      <c r="H16" s="3">
        <f>AVERAGE(C16:G16)</f>
        <v>0.16771089125384667</v>
      </c>
      <c r="I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3930-B276-43BD-B828-73A77FE25867}">
  <dimension ref="B2:H16"/>
  <sheetViews>
    <sheetView workbookViewId="0">
      <selection activeCell="C13" sqref="C13"/>
    </sheetView>
  </sheetViews>
  <sheetFormatPr defaultRowHeight="15"/>
  <cols>
    <col min="1" max="1" width="2.85546875" customWidth="1"/>
    <col min="2" max="2" width="25.7109375" customWidth="1"/>
    <col min="3" max="7" width="11.5703125" bestFit="1" customWidth="1"/>
  </cols>
  <sheetData>
    <row r="2" spans="2:8">
      <c r="B2" s="5" t="s">
        <v>15</v>
      </c>
      <c r="C2" s="5">
        <v>2026</v>
      </c>
      <c r="D2" s="5">
        <v>2027</v>
      </c>
      <c r="E2" s="5">
        <v>2028</v>
      </c>
      <c r="F2" s="5">
        <v>2029</v>
      </c>
      <c r="G2" s="5">
        <v>2030</v>
      </c>
    </row>
    <row r="3" spans="2:8">
      <c r="B3" t="s">
        <v>66</v>
      </c>
      <c r="C3" s="64">
        <f>'Historical Financials'!C3*(1+C4)</f>
        <v>441130.66000000003</v>
      </c>
      <c r="D3" s="62">
        <f>C3*(1+D4)</f>
        <v>465392.84630000003</v>
      </c>
      <c r="E3" s="62">
        <f t="shared" ref="E3:G3" si="0">D3*(1+E4)</f>
        <v>488662.48861500004</v>
      </c>
      <c r="F3" s="62">
        <f t="shared" si="0"/>
        <v>510652.30060267501</v>
      </c>
      <c r="G3" s="62">
        <f t="shared" si="0"/>
        <v>531078.39262678206</v>
      </c>
    </row>
    <row r="4" spans="2:8">
      <c r="B4" s="1" t="s">
        <v>67</v>
      </c>
      <c r="C4" s="63">
        <f>Assumptions!C6</f>
        <v>0.06</v>
      </c>
      <c r="D4" s="63">
        <f>Assumptions!D6</f>
        <v>5.5E-2</v>
      </c>
      <c r="E4" s="63">
        <f>Assumptions!E6</f>
        <v>0.05</v>
      </c>
      <c r="F4" s="63">
        <f>Assumptions!F6</f>
        <v>4.4999999999999998E-2</v>
      </c>
      <c r="G4" s="63">
        <f>Assumptions!G6</f>
        <v>0.04</v>
      </c>
    </row>
    <row r="5" spans="2:8">
      <c r="B5" t="s">
        <v>69</v>
      </c>
      <c r="C5" s="6">
        <f>C3*C6</f>
        <v>135315.55669379845</v>
      </c>
      <c r="D5" s="6">
        <f t="shared" ref="D5:G5" si="1">D3*D6</f>
        <v>143223.30515825737</v>
      </c>
      <c r="E5" s="6">
        <f t="shared" si="1"/>
        <v>150873.13290478525</v>
      </c>
      <c r="F5" s="6">
        <f t="shared" si="1"/>
        <v>158173.07618610325</v>
      </c>
      <c r="G5" s="6">
        <f t="shared" si="1"/>
        <v>165031.07762617417</v>
      </c>
      <c r="H5" s="6"/>
    </row>
    <row r="6" spans="2:8">
      <c r="B6" s="1" t="s">
        <v>70</v>
      </c>
      <c r="C6" s="63">
        <f>Assumptions!K6</f>
        <v>0.30674711364156471</v>
      </c>
      <c r="D6" s="63">
        <f>Assumptions!L6</f>
        <v>0.30774711364156471</v>
      </c>
      <c r="E6" s="63">
        <f>Assumptions!M6</f>
        <v>0.30874711364156471</v>
      </c>
      <c r="F6" s="63">
        <f>Assumptions!N6</f>
        <v>0.30974711364156471</v>
      </c>
      <c r="G6" s="63">
        <f>Assumptions!O6</f>
        <v>0.31074711364156471</v>
      </c>
    </row>
    <row r="7" spans="2:8">
      <c r="B7" t="s">
        <v>71</v>
      </c>
      <c r="C7" s="6">
        <f>C5+C9</f>
        <v>148235.08009467553</v>
      </c>
      <c r="D7" s="6">
        <f t="shared" ref="D7:G7" si="2">D5+D9</f>
        <v>156853.4023461827</v>
      </c>
      <c r="E7" s="6">
        <f t="shared" si="2"/>
        <v>165184.73495210684</v>
      </c>
      <c r="F7" s="6">
        <f t="shared" si="2"/>
        <v>173128.70032555432</v>
      </c>
      <c r="G7" s="6">
        <f t="shared" si="2"/>
        <v>180584.92673120328</v>
      </c>
    </row>
    <row r="8" spans="2:8">
      <c r="B8" s="1" t="s">
        <v>70</v>
      </c>
      <c r="C8" s="2">
        <f>C7/C3</f>
        <v>0.33603440779807853</v>
      </c>
      <c r="D8" s="2">
        <f t="shared" ref="D8:G8" si="3">D7/D3</f>
        <v>0.33703440779807853</v>
      </c>
      <c r="E8" s="2">
        <f t="shared" si="3"/>
        <v>0.33803440779807853</v>
      </c>
      <c r="F8" s="2">
        <f t="shared" si="3"/>
        <v>0.33903440779807859</v>
      </c>
      <c r="G8" s="2">
        <f t="shared" si="3"/>
        <v>0.34003440779807853</v>
      </c>
    </row>
    <row r="9" spans="2:8">
      <c r="B9" t="s">
        <v>72</v>
      </c>
      <c r="C9" s="6">
        <f>C3*C10</f>
        <v>12919.523400877091</v>
      </c>
      <c r="D9" s="6">
        <f t="shared" ref="D9:G9" si="4">D3*D10</f>
        <v>13630.09718792533</v>
      </c>
      <c r="E9" s="6">
        <f t="shared" si="4"/>
        <v>14311.602047321598</v>
      </c>
      <c r="F9" s="6">
        <f t="shared" si="4"/>
        <v>14955.624139451069</v>
      </c>
      <c r="G9" s="6">
        <f t="shared" si="4"/>
        <v>15553.849105029112</v>
      </c>
    </row>
    <row r="10" spans="2:8">
      <c r="B10" s="1" t="s">
        <v>70</v>
      </c>
      <c r="C10" s="65">
        <f>Assumptions!C20</f>
        <v>2.9287294156513832E-2</v>
      </c>
      <c r="D10" s="65">
        <f>Assumptions!D20</f>
        <v>2.9287294156513832E-2</v>
      </c>
      <c r="E10" s="65">
        <f>Assumptions!E20</f>
        <v>2.9287294156513832E-2</v>
      </c>
      <c r="F10" s="65">
        <f>Assumptions!F20</f>
        <v>2.9287294156513832E-2</v>
      </c>
      <c r="G10" s="65">
        <f>Assumptions!G20</f>
        <v>2.9287294156513832E-2</v>
      </c>
    </row>
    <row r="11" spans="2:8">
      <c r="B11" t="s">
        <v>73</v>
      </c>
      <c r="C11" s="6">
        <f>C3*C12</f>
        <v>12418.837186105136</v>
      </c>
      <c r="D11" s="6">
        <f t="shared" ref="D11:G11" si="5">D3*D12</f>
        <v>13101.873231340918</v>
      </c>
      <c r="E11" s="6">
        <f t="shared" si="5"/>
        <v>13756.966892907965</v>
      </c>
      <c r="F11" s="6">
        <f t="shared" si="5"/>
        <v>14376.030403088822</v>
      </c>
      <c r="G11" s="6">
        <f t="shared" si="5"/>
        <v>14951.071619212376</v>
      </c>
    </row>
    <row r="12" spans="2:8">
      <c r="B12" s="1" t="s">
        <v>70</v>
      </c>
      <c r="C12" s="65">
        <f>Assumptions!C19</f>
        <v>2.8152287546971085E-2</v>
      </c>
      <c r="D12" s="65">
        <f>Assumptions!D19</f>
        <v>2.8152287546971085E-2</v>
      </c>
      <c r="E12" s="65">
        <f>Assumptions!E19</f>
        <v>2.8152287546971085E-2</v>
      </c>
      <c r="F12" s="65">
        <f>Assumptions!F19</f>
        <v>2.8152287546971085E-2</v>
      </c>
      <c r="G12" s="65">
        <f>Assumptions!G19</f>
        <v>2.8152287546971085E-2</v>
      </c>
    </row>
    <row r="13" spans="2:8">
      <c r="B13" t="s">
        <v>74</v>
      </c>
      <c r="C13" s="11">
        <f>C3*C14</f>
        <v>-15841.130961622226</v>
      </c>
      <c r="D13" s="11">
        <f t="shared" ref="D13:G13" si="6">D3*D14</f>
        <v>-16712.39316451145</v>
      </c>
      <c r="E13" s="11">
        <f t="shared" si="6"/>
        <v>-17548.012822737022</v>
      </c>
      <c r="F13" s="11">
        <f t="shared" si="6"/>
        <v>-18337.673399760188</v>
      </c>
      <c r="G13" s="11">
        <f t="shared" si="6"/>
        <v>-19071.180335750596</v>
      </c>
    </row>
    <row r="14" spans="2:8">
      <c r="B14" s="1" t="s">
        <v>70</v>
      </c>
      <c r="C14" s="65">
        <f>Assumptions!C21</f>
        <v>-3.5910292342006392E-2</v>
      </c>
      <c r="D14" s="65">
        <f>Assumptions!D21</f>
        <v>-3.5910292342006392E-2</v>
      </c>
      <c r="E14" s="65">
        <f>Assumptions!E21</f>
        <v>-3.5910292342006392E-2</v>
      </c>
      <c r="F14" s="65">
        <f>Assumptions!F21</f>
        <v>-3.5910292342006392E-2</v>
      </c>
      <c r="G14" s="65">
        <f>Assumptions!G21</f>
        <v>-3.5910292342006392E-2</v>
      </c>
    </row>
    <row r="15" spans="2:8">
      <c r="B15" t="s">
        <v>75</v>
      </c>
      <c r="C15" s="6">
        <f>C5*C16</f>
        <v>22693.892613627355</v>
      </c>
      <c r="D15" s="6">
        <f>D5*D16</f>
        <v>24020.108156412996</v>
      </c>
      <c r="E15" s="6">
        <f>E5*E16</f>
        <v>25303.067585721594</v>
      </c>
      <c r="F15" s="6">
        <f>F5*F16</f>
        <v>26527.347579533965</v>
      </c>
      <c r="G15" s="6">
        <f>G5*G16</f>
        <v>27677.509113268425</v>
      </c>
    </row>
    <row r="16" spans="2:8">
      <c r="B16" s="1" t="s">
        <v>62</v>
      </c>
      <c r="C16" s="65">
        <f>Assumptions!$K$29</f>
        <v>0.16771089125384667</v>
      </c>
      <c r="D16" s="65">
        <f>Assumptions!$K$29</f>
        <v>0.16771089125384667</v>
      </c>
      <c r="E16" s="65">
        <f>Assumptions!$K$29</f>
        <v>0.16771089125384667</v>
      </c>
      <c r="F16" s="65">
        <f>Assumptions!$K$29</f>
        <v>0.16771089125384667</v>
      </c>
      <c r="G16" s="65">
        <f>Assumptions!$K$29</f>
        <v>0.16771089125384667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8518-B8B5-419C-97A6-B9572C558EA1}">
  <dimension ref="B2:F16"/>
  <sheetViews>
    <sheetView workbookViewId="0">
      <selection activeCell="F25" sqref="F25"/>
    </sheetView>
  </sheetViews>
  <sheetFormatPr defaultRowHeight="15"/>
  <cols>
    <col min="1" max="1" width="2.85546875" customWidth="1"/>
    <col min="2" max="2" width="23.85546875" bestFit="1" customWidth="1"/>
    <col min="3" max="3" width="35.7109375" bestFit="1" customWidth="1"/>
    <col min="5" max="5" width="25.28515625" customWidth="1"/>
    <col min="6" max="6" width="23.5703125" customWidth="1"/>
  </cols>
  <sheetData>
    <row r="2" spans="2:6">
      <c r="B2" s="20" t="s">
        <v>76</v>
      </c>
      <c r="C2" s="21"/>
    </row>
    <row r="3" spans="2:6">
      <c r="B3" s="22" t="s">
        <v>77</v>
      </c>
      <c r="C3" s="69">
        <f>Assumptions!K19</f>
        <v>4.2999999999999997E-2</v>
      </c>
    </row>
    <row r="4" spans="2:6">
      <c r="B4" s="23" t="s">
        <v>78</v>
      </c>
      <c r="C4" s="70">
        <f>Assumptions!K20</f>
        <v>1.1000000000000001</v>
      </c>
    </row>
    <row r="5" spans="2:6">
      <c r="B5" s="24" t="s">
        <v>79</v>
      </c>
      <c r="C5" s="71">
        <f>Assumptions!K21</f>
        <v>4.2299999999999997E-2</v>
      </c>
    </row>
    <row r="6" spans="2:6">
      <c r="B6" s="24" t="s">
        <v>80</v>
      </c>
      <c r="C6" s="25">
        <f>C3+C4*C5</f>
        <v>8.9529999999999998E-2</v>
      </c>
      <c r="E6" s="56" t="s">
        <v>52</v>
      </c>
      <c r="F6" s="72">
        <f>Assumptions!K22</f>
        <v>0.05</v>
      </c>
    </row>
    <row r="9" spans="2:6">
      <c r="B9" s="20" t="s">
        <v>81</v>
      </c>
      <c r="C9" s="21"/>
    </row>
    <row r="10" spans="2:6">
      <c r="B10" s="23" t="s">
        <v>55</v>
      </c>
      <c r="C10" s="73">
        <f>Assumptions!K24</f>
        <v>4536000</v>
      </c>
    </row>
    <row r="11" spans="2:6">
      <c r="B11" s="23" t="s">
        <v>56</v>
      </c>
      <c r="C11" s="73">
        <f>Assumptions!K25</f>
        <v>84710</v>
      </c>
    </row>
    <row r="12" spans="2:6">
      <c r="B12" s="26" t="s">
        <v>82</v>
      </c>
      <c r="C12" s="40">
        <f>C10/(C10+C11)</f>
        <v>0.98166731952448871</v>
      </c>
    </row>
    <row r="13" spans="2:6">
      <c r="B13" s="24" t="s">
        <v>83</v>
      </c>
      <c r="C13" s="39">
        <f>1-C12</f>
        <v>1.8332680475511287E-2</v>
      </c>
    </row>
    <row r="14" spans="2:6">
      <c r="B14" s="38"/>
      <c r="C14" s="38"/>
    </row>
    <row r="15" spans="2:6">
      <c r="B15" s="38"/>
      <c r="C15" s="38"/>
    </row>
    <row r="16" spans="2:6">
      <c r="B16" s="76" t="s">
        <v>17</v>
      </c>
      <c r="C16" s="77">
        <f>(C12*C6)+(C13*F6*(1-Assumptions!K29))</f>
        <v>8.865157963172203E-2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7812-19D2-4646-BD87-1EE1172650DD}">
  <dimension ref="B2:J18"/>
  <sheetViews>
    <sheetView workbookViewId="0">
      <selection activeCell="G16" sqref="G16"/>
    </sheetView>
  </sheetViews>
  <sheetFormatPr defaultRowHeight="15"/>
  <cols>
    <col min="1" max="1" width="2.85546875" customWidth="1"/>
    <col min="2" max="2" width="18.28515625" bestFit="1" customWidth="1"/>
    <col min="3" max="3" width="13.7109375" customWidth="1"/>
    <col min="4" max="4" width="12.85546875" customWidth="1"/>
    <col min="5" max="5" width="13.7109375" customWidth="1"/>
    <col min="6" max="6" width="15" bestFit="1" customWidth="1"/>
    <col min="7" max="7" width="13" customWidth="1"/>
    <col min="10" max="10" width="13.140625" bestFit="1" customWidth="1"/>
  </cols>
  <sheetData>
    <row r="2" spans="2:10">
      <c r="B2" s="96" t="s">
        <v>84</v>
      </c>
      <c r="C2">
        <v>1</v>
      </c>
      <c r="D2">
        <v>2</v>
      </c>
      <c r="E2">
        <v>3</v>
      </c>
      <c r="F2">
        <v>4</v>
      </c>
      <c r="G2">
        <v>5</v>
      </c>
    </row>
    <row r="3" spans="2:10">
      <c r="B3" s="5" t="s">
        <v>26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</row>
    <row r="4" spans="2:10">
      <c r="B4" s="58" t="s">
        <v>85</v>
      </c>
      <c r="C4" s="64">
        <f>Forecast!C5*(1-Assumptions!$K$29)+Forecast!C9-Forecast!C11-(Forecast!C13-'Historical Financials'!C13)</f>
        <v>111289.48125656528</v>
      </c>
      <c r="D4" s="64">
        <f>Forecast!D5*(1-Assumptions!$K$29)+Forecast!D9-Forecast!D11-(Forecast!D13-Forecast!C13)</f>
        <v>120602.683161318</v>
      </c>
      <c r="E4" s="64">
        <f>Forecast!E5*(1-Assumptions!$K$29)+Forecast!E9-Forecast!E11-(Forecast!E13-Forecast!D13)</f>
        <v>126960.32013170287</v>
      </c>
      <c r="F4" s="64">
        <f>Forecast!F5*(1-Assumptions!$K$29)+Forecast!F9-Forecast!F11-(Forecast!F13-Forecast!E13)</f>
        <v>133014.98291995469</v>
      </c>
      <c r="G4" s="64">
        <f>Forecast!G5*(1-Assumptions!$K$29)+Forecast!G9-Forecast!G11-(Forecast!G13-Forecast!F13)</f>
        <v>138689.85293471289</v>
      </c>
    </row>
    <row r="5" spans="2:10">
      <c r="B5" s="80" t="s">
        <v>86</v>
      </c>
      <c r="C5" s="6"/>
      <c r="D5" s="6"/>
      <c r="E5" s="6"/>
      <c r="G5" s="66">
        <f>G4*(1+Assumptions!K27)/($C$8-Assumptions!K27)</f>
        <v>2964702.2387337866</v>
      </c>
    </row>
    <row r="6" spans="2:10">
      <c r="C6" s="6"/>
      <c r="D6" s="6"/>
      <c r="E6" s="6"/>
      <c r="F6" s="6"/>
      <c r="G6" s="6">
        <f>G4+G5</f>
        <v>3103392.0916684996</v>
      </c>
    </row>
    <row r="7" spans="2:10">
      <c r="C7" s="6"/>
      <c r="D7" s="6"/>
      <c r="E7" s="6"/>
      <c r="F7" s="6"/>
      <c r="G7" s="6"/>
    </row>
    <row r="8" spans="2:10">
      <c r="B8" t="s">
        <v>17</v>
      </c>
      <c r="C8" s="67">
        <f>WACC!C16</f>
        <v>8.865157963172203E-2</v>
      </c>
      <c r="D8" s="9"/>
      <c r="E8" s="9"/>
      <c r="F8" s="9"/>
      <c r="G8" s="9"/>
    </row>
    <row r="9" spans="2:10">
      <c r="C9" s="9"/>
      <c r="D9" s="9"/>
      <c r="E9" s="9"/>
      <c r="F9" s="9"/>
      <c r="G9" s="9"/>
    </row>
    <row r="10" spans="2:10">
      <c r="B10" t="s">
        <v>16</v>
      </c>
      <c r="C10" s="6">
        <f>C4/(1+$C$8)^C2</f>
        <v>102226.90467616206</v>
      </c>
      <c r="D10" s="6">
        <f t="shared" ref="D10:G10" si="0">D4/(1+$C$8)^D2</f>
        <v>101760.48212556464</v>
      </c>
      <c r="E10" s="6">
        <f t="shared" si="0"/>
        <v>98401.402320793073</v>
      </c>
      <c r="F10" s="6">
        <f t="shared" si="0"/>
        <v>94698.900080625652</v>
      </c>
      <c r="G10" s="6">
        <f>G6/(1+$C$8)^G2</f>
        <v>2029514.2907929842</v>
      </c>
    </row>
    <row r="11" spans="2:10">
      <c r="J11" s="11"/>
    </row>
    <row r="12" spans="2:10">
      <c r="J12" s="11"/>
    </row>
    <row r="13" spans="2:10">
      <c r="B13" t="s">
        <v>87</v>
      </c>
      <c r="C13" s="6">
        <f>SUM(C10:G10)</f>
        <v>2426601.9799961299</v>
      </c>
    </row>
    <row r="14" spans="2:10">
      <c r="B14" t="s">
        <v>88</v>
      </c>
      <c r="C14" s="62">
        <v>62723</v>
      </c>
    </row>
    <row r="15" spans="2:10">
      <c r="B15" t="s">
        <v>89</v>
      </c>
      <c r="C15" s="6">
        <f>C13-C14</f>
        <v>2363878.9799961299</v>
      </c>
    </row>
    <row r="16" spans="2:10">
      <c r="B16" t="s">
        <v>90</v>
      </c>
      <c r="C16" s="68">
        <f>Assumptions!K26</f>
        <v>14690</v>
      </c>
    </row>
    <row r="18" spans="2:3">
      <c r="B18" s="74" t="s">
        <v>91</v>
      </c>
      <c r="C18" s="75">
        <f>C15/C16</f>
        <v>160.91756160627159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3828-7DA3-48CF-BA39-256C7A00603A}">
  <dimension ref="B2:I14"/>
  <sheetViews>
    <sheetView workbookViewId="0">
      <selection activeCell="M12" sqref="M12"/>
    </sheetView>
  </sheetViews>
  <sheetFormatPr defaultRowHeight="15"/>
  <cols>
    <col min="1" max="1" width="2.85546875" customWidth="1"/>
    <col min="2" max="2" width="6.28515625" bestFit="1" customWidth="1"/>
    <col min="3" max="3" width="5.85546875" bestFit="1" customWidth="1"/>
    <col min="6" max="6" width="9.140625" customWidth="1"/>
  </cols>
  <sheetData>
    <row r="2" spans="2:9" ht="18.75">
      <c r="C2" s="34" t="s">
        <v>92</v>
      </c>
      <c r="D2" s="5"/>
      <c r="E2" s="5"/>
      <c r="F2" s="5"/>
      <c r="G2" s="5"/>
      <c r="H2" s="5"/>
      <c r="I2" s="33"/>
    </row>
    <row r="3" spans="2:9" ht="33.75" customHeight="1">
      <c r="F3" s="32" t="s">
        <v>93</v>
      </c>
    </row>
    <row r="4" spans="2:9" ht="33.75" customHeight="1">
      <c r="C4" s="27"/>
      <c r="D4" s="35">
        <v>1.4999999999999999E-2</v>
      </c>
      <c r="E4" s="36">
        <v>0.02</v>
      </c>
      <c r="F4" s="36">
        <v>2.5000000000000001E-2</v>
      </c>
      <c r="G4" s="36">
        <v>0.03</v>
      </c>
      <c r="H4" s="37">
        <v>3.5000000000000003E-2</v>
      </c>
    </row>
    <row r="5" spans="2:9" ht="48" customHeight="1">
      <c r="C5" s="29">
        <v>7.0000000000000007E-2</v>
      </c>
      <c r="D5" s="32">
        <v>154.9</v>
      </c>
      <c r="E5" s="32">
        <v>168</v>
      </c>
      <c r="F5" s="32">
        <v>184</v>
      </c>
      <c r="G5" s="32">
        <v>204.01</v>
      </c>
      <c r="H5" s="32">
        <v>229.73</v>
      </c>
    </row>
    <row r="6" spans="2:9" ht="48" customHeight="1">
      <c r="C6" s="30">
        <v>7.4999999999999997E-2</v>
      </c>
      <c r="D6" s="32">
        <v>141.44</v>
      </c>
      <c r="E6" s="32">
        <v>152.16</v>
      </c>
      <c r="F6" s="32">
        <v>165.01</v>
      </c>
      <c r="G6" s="32">
        <v>180.72</v>
      </c>
      <c r="H6" s="32">
        <v>200.36</v>
      </c>
    </row>
    <row r="7" spans="2:9" ht="48" customHeight="1">
      <c r="B7" s="28" t="s">
        <v>17</v>
      </c>
      <c r="C7" s="30">
        <v>0.08</v>
      </c>
      <c r="D7" s="32">
        <v>130.06</v>
      </c>
      <c r="E7" s="32">
        <v>138.96</v>
      </c>
      <c r="F7" s="32">
        <v>149.47</v>
      </c>
      <c r="G7" s="32">
        <v>162.09</v>
      </c>
      <c r="H7" s="32">
        <v>177.51</v>
      </c>
    </row>
    <row r="8" spans="2:9" ht="48" customHeight="1">
      <c r="C8" s="30">
        <v>8.5000000000000006E-2</v>
      </c>
      <c r="D8" s="32">
        <v>120.31</v>
      </c>
      <c r="E8" s="32">
        <v>127.79</v>
      </c>
      <c r="F8" s="32">
        <v>136.53</v>
      </c>
      <c r="G8" s="32">
        <v>146.85</v>
      </c>
      <c r="H8" s="32">
        <v>159.24</v>
      </c>
    </row>
    <row r="9" spans="2:9" ht="48" customHeight="1">
      <c r="C9" s="31">
        <v>0.09</v>
      </c>
      <c r="D9" s="32">
        <v>111.86</v>
      </c>
      <c r="E9" s="32">
        <v>118.23</v>
      </c>
      <c r="F9" s="32">
        <v>125.58</v>
      </c>
      <c r="G9" s="32">
        <v>134.15</v>
      </c>
      <c r="H9" s="32">
        <v>144.28</v>
      </c>
    </row>
    <row r="14" spans="2:9">
      <c r="G14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5187-56FF-4F82-A496-E50660FF5955}">
  <dimension ref="B2:Q26"/>
  <sheetViews>
    <sheetView workbookViewId="0">
      <selection activeCell="H23" sqref="H23"/>
    </sheetView>
  </sheetViews>
  <sheetFormatPr defaultRowHeight="15"/>
  <cols>
    <col min="1" max="1" width="7.5703125" customWidth="1"/>
    <col min="14" max="14" width="11.5703125" bestFit="1" customWidth="1"/>
    <col min="15" max="15" width="15.28515625" bestFit="1" customWidth="1"/>
    <col min="16" max="16" width="15.7109375" bestFit="1" customWidth="1"/>
    <col min="17" max="17" width="13.85546875" customWidth="1"/>
    <col min="18" max="18" width="11.5703125" bestFit="1" customWidth="1"/>
  </cols>
  <sheetData>
    <row r="2" spans="2:17">
      <c r="B2" s="5" t="s">
        <v>94</v>
      </c>
      <c r="C2" s="94">
        <v>2021</v>
      </c>
      <c r="D2" s="94">
        <v>2022</v>
      </c>
      <c r="E2" s="94">
        <v>2023</v>
      </c>
      <c r="F2" s="94">
        <v>2024</v>
      </c>
      <c r="G2" s="94">
        <v>2025</v>
      </c>
      <c r="H2" s="94" t="s">
        <v>95</v>
      </c>
      <c r="I2" s="94" t="s">
        <v>96</v>
      </c>
      <c r="J2" s="94" t="s">
        <v>97</v>
      </c>
      <c r="K2" s="94" t="s">
        <v>98</v>
      </c>
      <c r="L2" s="94" t="s">
        <v>99</v>
      </c>
      <c r="M2" s="10"/>
      <c r="O2" s="5"/>
      <c r="P2" s="5" t="s">
        <v>100</v>
      </c>
      <c r="Q2" s="5" t="s">
        <v>101</v>
      </c>
    </row>
    <row r="3" spans="2:17">
      <c r="B3" t="s">
        <v>66</v>
      </c>
      <c r="C3" s="62">
        <f>'Historical Financials'!G3</f>
        <v>365817</v>
      </c>
      <c r="D3" s="62">
        <f>'Historical Financials'!F3</f>
        <v>394328</v>
      </c>
      <c r="E3" s="62">
        <f>'Historical Financials'!E3</f>
        <v>383285</v>
      </c>
      <c r="F3" s="62">
        <f>'Historical Financials'!D3</f>
        <v>391035</v>
      </c>
      <c r="G3" s="62">
        <f>'Historical Financials'!C3</f>
        <v>416161</v>
      </c>
      <c r="H3" s="93">
        <f>Forecast!C3</f>
        <v>441130.66000000003</v>
      </c>
      <c r="I3" s="93">
        <f>Forecast!D3</f>
        <v>465392.84630000003</v>
      </c>
      <c r="J3" s="93">
        <f>Forecast!E3</f>
        <v>488662.48861500004</v>
      </c>
      <c r="K3" s="93">
        <f>Forecast!F3</f>
        <v>510652.30060267501</v>
      </c>
      <c r="L3" s="93">
        <f>Forecast!G3</f>
        <v>531078.39262678206</v>
      </c>
      <c r="O3" t="s">
        <v>87</v>
      </c>
      <c r="P3" s="110">
        <f>SUM(DCF!C4:G4)</f>
        <v>630557.32040425367</v>
      </c>
      <c r="Q3" s="110">
        <f>DCF!G5</f>
        <v>2964702.2387337866</v>
      </c>
    </row>
    <row r="22" spans="2:11">
      <c r="B22" s="5" t="s">
        <v>94</v>
      </c>
      <c r="C22" s="94">
        <v>2022</v>
      </c>
      <c r="D22" s="94">
        <v>2023</v>
      </c>
      <c r="E22" s="94">
        <v>2024</v>
      </c>
      <c r="F22" s="94">
        <v>2025</v>
      </c>
      <c r="G22" s="94" t="s">
        <v>95</v>
      </c>
      <c r="H22" s="94" t="s">
        <v>96</v>
      </c>
      <c r="I22" s="94" t="s">
        <v>97</v>
      </c>
      <c r="J22" s="94" t="s">
        <v>98</v>
      </c>
      <c r="K22" s="94" t="s">
        <v>99</v>
      </c>
    </row>
    <row r="23" spans="2:11">
      <c r="B23" t="s">
        <v>85</v>
      </c>
      <c r="C23" s="64">
        <f>'Historical Financials'!F5*(1-'Historical Financials'!F16)+'Historical Financials'!F9-'Historical Financials'!F11-('Historical Financials'!F13-'Historical Financials'!G13)</f>
        <v>109755</v>
      </c>
      <c r="D23" s="64">
        <f>'Historical Financials'!E5*(1-'Historical Financials'!E16)+'Historical Financials'!E9-'Historical Financials'!E11-('Historical Financials'!E13-'Historical Financials'!F13)</f>
        <v>81285</v>
      </c>
      <c r="E23" s="64">
        <f>'Historical Financials'!D5*(1-'Historical Financials'!D16)+'Historical Financials'!D9-'Historical Financials'!D11-('Historical Financials'!D13-'Historical Financials'!E13)</f>
        <v>117128</v>
      </c>
      <c r="F23" s="110">
        <f>'Historical Financials'!C5*(1-'Historical Financials'!C16)+'Historical Financials'!C9-'Historical Financials'!C11-('Historical Financials'!C13-'Historical Financials'!D13)</f>
        <v>105583</v>
      </c>
      <c r="G23" s="110">
        <f>DCF!C4</f>
        <v>111289.48125656528</v>
      </c>
      <c r="H23" s="110">
        <f>DCF!D4</f>
        <v>120602.683161318</v>
      </c>
      <c r="I23" s="110">
        <f>DCF!E4</f>
        <v>126960.32013170287</v>
      </c>
      <c r="J23" s="110">
        <f>DCF!F4</f>
        <v>133014.98291995469</v>
      </c>
      <c r="K23" s="110">
        <f>DCF!G4</f>
        <v>138689.85293471289</v>
      </c>
    </row>
    <row r="24" spans="2:11">
      <c r="B24" s="62"/>
      <c r="C24" s="62"/>
      <c r="D24" s="62"/>
      <c r="E24" s="62"/>
      <c r="F24" s="62"/>
    </row>
    <row r="25" spans="2:11">
      <c r="B25" s="62"/>
      <c r="C25" s="62"/>
      <c r="D25" s="62"/>
      <c r="E25" s="62"/>
      <c r="F25" s="62"/>
    </row>
    <row r="26" spans="2:11">
      <c r="B26" s="62"/>
      <c r="C26" s="62"/>
      <c r="D26" s="62"/>
      <c r="E26" s="62"/>
      <c r="F26" s="6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AL-ADNANI</cp:lastModifiedBy>
  <cp:revision/>
  <dcterms:created xsi:type="dcterms:W3CDTF">2026-07-05T09:10:19Z</dcterms:created>
  <dcterms:modified xsi:type="dcterms:W3CDTF">2026-07-10T19:26:53Z</dcterms:modified>
  <cp:category/>
  <cp:contentStatus/>
</cp:coreProperties>
</file>